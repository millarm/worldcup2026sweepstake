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meserveconsumerfinance-my.sharepoint.com/personal/matt_millar_homeservefinance_com/Documents/"/>
    </mc:Choice>
  </mc:AlternateContent>
  <xr:revisionPtr revIDLastSave="0" documentId="8_{B80D5FC6-B6B2-9E44-A043-AEFCF68BCAFC}" xr6:coauthVersionLast="47" xr6:coauthVersionMax="47" xr10:uidLastSave="{00000000-0000-0000-0000-000000000000}"/>
  <bookViews>
    <workbookView xWindow="0" yWindow="600" windowWidth="34560" windowHeight="22340" activeTab="1" xr2:uid="{B8C317E9-B67A-4B15-9273-07E26B4A7D05}"/>
  </bookViews>
  <sheets>
    <sheet name="Teams" sheetId="1" r:id="rId1"/>
    <sheet name="Tracker" sheetId="2" r:id="rId2"/>
  </sheets>
  <definedNames>
    <definedName name="_xlnm._FilterDatabase" localSheetId="0" hidden="1">Teams!$A$1:$C$1</definedName>
  </definedNames>
  <calcPr calcId="191028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90" i="2" l="1"/>
  <c r="H108" i="2"/>
  <c r="C116" i="2" s="1"/>
  <c r="H109" i="2"/>
  <c r="F116" i="2" s="1"/>
  <c r="H110" i="2"/>
  <c r="C118" i="2" s="1"/>
  <c r="H111" i="2"/>
  <c r="F118" i="2" s="1"/>
  <c r="H112" i="2"/>
  <c r="C117" i="2" s="1"/>
  <c r="H113" i="2"/>
  <c r="F117" i="2" s="1"/>
  <c r="H114" i="2"/>
  <c r="C119" i="2" s="1"/>
  <c r="H115" i="2"/>
  <c r="F119" i="2" s="1"/>
  <c r="H116" i="2"/>
  <c r="C120" i="2" s="1"/>
  <c r="H117" i="2"/>
  <c r="F120" i="2" s="1"/>
  <c r="H118" i="2"/>
  <c r="C121" i="2" s="1"/>
  <c r="H119" i="2"/>
  <c r="F121" i="2" s="1"/>
  <c r="H120" i="2"/>
  <c r="C122" i="2" s="1"/>
  <c r="H121" i="2"/>
  <c r="H122" i="2"/>
  <c r="H92" i="2"/>
  <c r="C109" i="2" s="1"/>
  <c r="H93" i="2"/>
  <c r="C108" i="2" s="1"/>
  <c r="I93" i="2"/>
  <c r="H94" i="2"/>
  <c r="F109" i="2" s="1"/>
  <c r="H95" i="2"/>
  <c r="C110" i="2" s="1"/>
  <c r="H96" i="2"/>
  <c r="F108" i="2" s="1"/>
  <c r="I96" i="2"/>
  <c r="H97" i="2"/>
  <c r="F110" i="2" s="1"/>
  <c r="H98" i="2"/>
  <c r="C111" i="2" s="1"/>
  <c r="I98" i="2"/>
  <c r="H99" i="2"/>
  <c r="F111" i="2" s="1"/>
  <c r="I99" i="2"/>
  <c r="H100" i="2"/>
  <c r="C113" i="2" s="1"/>
  <c r="I100" i="2"/>
  <c r="H101" i="2"/>
  <c r="F113" i="2" s="1"/>
  <c r="I101" i="2"/>
  <c r="H102" i="2"/>
  <c r="C112" i="2" s="1"/>
  <c r="H103" i="2"/>
  <c r="F112" i="2" s="1"/>
  <c r="H104" i="2"/>
  <c r="C115" i="2" s="1"/>
  <c r="I104" i="2"/>
  <c r="H105" i="2"/>
  <c r="C114" i="2" s="1"/>
  <c r="H106" i="2"/>
  <c r="F115" i="2" s="1"/>
  <c r="I106" i="2"/>
  <c r="H107" i="2"/>
  <c r="F114" i="2" s="1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39" i="2"/>
  <c r="BH40" i="2"/>
  <c r="BH41" i="2"/>
  <c r="BH42" i="2"/>
  <c r="BH43" i="2"/>
  <c r="BH44" i="2"/>
  <c r="BH45" i="2"/>
  <c r="BH46" i="2"/>
  <c r="BH47" i="2"/>
  <c r="BH48" i="2"/>
  <c r="BH49" i="2"/>
  <c r="BH50" i="2"/>
  <c r="BH51" i="2"/>
  <c r="BH52" i="2"/>
  <c r="G5" i="2"/>
  <c r="H5" i="2" s="1"/>
  <c r="G6" i="2"/>
  <c r="I6" i="2" s="1"/>
  <c r="G7" i="2"/>
  <c r="J7" i="2" s="1"/>
  <c r="G8" i="2"/>
  <c r="J8" i="2" s="1"/>
  <c r="G9" i="2"/>
  <c r="J9" i="2" s="1"/>
  <c r="G10" i="2"/>
  <c r="J10" i="2" s="1"/>
  <c r="G11" i="2"/>
  <c r="J11" i="2" s="1"/>
  <c r="G12" i="2"/>
  <c r="H12" i="2" s="1"/>
  <c r="G13" i="2"/>
  <c r="I13" i="2" s="1"/>
  <c r="G14" i="2"/>
  <c r="J14" i="2" s="1"/>
  <c r="G15" i="2"/>
  <c r="J15" i="2" s="1"/>
  <c r="G16" i="2"/>
  <c r="I16" i="2" s="1"/>
  <c r="G17" i="2"/>
  <c r="J17" i="2" s="1"/>
  <c r="G18" i="2"/>
  <c r="J18" i="2" s="1"/>
  <c r="G19" i="2"/>
  <c r="G20" i="2"/>
  <c r="J20" i="2" s="1"/>
  <c r="G21" i="2"/>
  <c r="J21" i="2" s="1"/>
  <c r="G22" i="2"/>
  <c r="H22" i="2" s="1"/>
  <c r="G23" i="2"/>
  <c r="I23" i="2" s="1"/>
  <c r="G24" i="2"/>
  <c r="J24" i="2" s="1"/>
  <c r="G25" i="2"/>
  <c r="I25" i="2" s="1"/>
  <c r="G26" i="2"/>
  <c r="H26" i="2" s="1"/>
  <c r="G27" i="2"/>
  <c r="G28" i="2"/>
  <c r="I28" i="2" s="1"/>
  <c r="G29" i="2"/>
  <c r="I29" i="2" s="1"/>
  <c r="G30" i="2"/>
  <c r="I30" i="2" s="1"/>
  <c r="G31" i="2"/>
  <c r="J31" i="2" s="1"/>
  <c r="G32" i="2"/>
  <c r="H32" i="2" s="1"/>
  <c r="G33" i="2"/>
  <c r="H33" i="2" s="1"/>
  <c r="J33" i="2"/>
  <c r="G34" i="2"/>
  <c r="G35" i="2"/>
  <c r="H35" i="2" s="1"/>
  <c r="G36" i="2"/>
  <c r="G37" i="2"/>
  <c r="H37" i="2" s="1"/>
  <c r="G38" i="2"/>
  <c r="H38" i="2" s="1"/>
  <c r="G39" i="2"/>
  <c r="H39" i="2" s="1"/>
  <c r="G40" i="2"/>
  <c r="J40" i="2" s="1"/>
  <c r="G41" i="2"/>
  <c r="J41" i="2" s="1"/>
  <c r="G42" i="2"/>
  <c r="J42" i="2" s="1"/>
  <c r="G43" i="2"/>
  <c r="H43" i="2" s="1"/>
  <c r="G44" i="2"/>
  <c r="H44" i="2" s="1"/>
  <c r="G45" i="2"/>
  <c r="J45" i="2" s="1"/>
  <c r="G46" i="2"/>
  <c r="I46" i="2" s="1"/>
  <c r="J46" i="2"/>
  <c r="G47" i="2"/>
  <c r="H47" i="2" s="1"/>
  <c r="G48" i="2"/>
  <c r="I48" i="2" s="1"/>
  <c r="G49" i="2"/>
  <c r="H49" i="2" s="1"/>
  <c r="G50" i="2"/>
  <c r="J50" i="2" s="1"/>
  <c r="G51" i="2"/>
  <c r="J51" i="2" s="1"/>
  <c r="G52" i="2"/>
  <c r="G53" i="2"/>
  <c r="G54" i="2"/>
  <c r="H54" i="2" s="1"/>
  <c r="G55" i="2"/>
  <c r="H55" i="2" s="1"/>
  <c r="G56" i="2"/>
  <c r="J56" i="2" s="1"/>
  <c r="G57" i="2"/>
  <c r="I57" i="2" s="1"/>
  <c r="J57" i="2"/>
  <c r="G58" i="2"/>
  <c r="J58" i="2" s="1"/>
  <c r="G59" i="2"/>
  <c r="H59" i="2" s="1"/>
  <c r="G60" i="2"/>
  <c r="J60" i="2" s="1"/>
  <c r="G61" i="2"/>
  <c r="J61" i="2" s="1"/>
  <c r="G62" i="2"/>
  <c r="J62" i="2" s="1"/>
  <c r="G63" i="2"/>
  <c r="I63" i="2" s="1"/>
  <c r="G64" i="2"/>
  <c r="G65" i="2"/>
  <c r="G66" i="2"/>
  <c r="H66" i="2" s="1"/>
  <c r="G67" i="2"/>
  <c r="H67" i="2" s="1"/>
  <c r="G68" i="2"/>
  <c r="J68" i="2" s="1"/>
  <c r="G69" i="2"/>
  <c r="G70" i="2"/>
  <c r="I70" i="2" s="1"/>
  <c r="G71" i="2"/>
  <c r="H71" i="2" s="1"/>
  <c r="G72" i="2"/>
  <c r="G73" i="2"/>
  <c r="J73" i="2" s="1"/>
  <c r="G74" i="2"/>
  <c r="J74" i="2" s="1"/>
  <c r="G75" i="2"/>
  <c r="I75" i="2" s="1"/>
  <c r="G76" i="2"/>
  <c r="H76" i="2" s="1"/>
  <c r="C52" i="1"/>
  <c r="H31" i="2" l="1"/>
  <c r="J70" i="2"/>
  <c r="I40" i="2"/>
  <c r="BD22" i="2"/>
  <c r="BJ30" i="2"/>
  <c r="BJ16" i="2"/>
  <c r="BJ36" i="2"/>
  <c r="BJ22" i="2"/>
  <c r="BJ42" i="2"/>
  <c r="BJ14" i="2"/>
  <c r="BJ28" i="2"/>
  <c r="BD8" i="2"/>
  <c r="BJ29" i="2"/>
  <c r="BJ15" i="2"/>
  <c r="I41" i="2"/>
  <c r="H41" i="2"/>
  <c r="I51" i="2"/>
  <c r="J5" i="2"/>
  <c r="BF5" i="2" s="1"/>
  <c r="I66" i="2"/>
  <c r="J29" i="2"/>
  <c r="BF21" i="2" s="1"/>
  <c r="I5" i="2"/>
  <c r="I32" i="2"/>
  <c r="J49" i="2"/>
  <c r="J37" i="2"/>
  <c r="J25" i="2"/>
  <c r="H29" i="2"/>
  <c r="I33" i="2"/>
  <c r="J54" i="2"/>
  <c r="BG40" i="2" s="1"/>
  <c r="J23" i="2"/>
  <c r="J32" i="2"/>
  <c r="I9" i="2"/>
  <c r="H10" i="2"/>
  <c r="J66" i="2"/>
  <c r="I54" i="2"/>
  <c r="I17" i="2"/>
  <c r="I42" i="2"/>
  <c r="H17" i="2"/>
  <c r="I18" i="2"/>
  <c r="I62" i="2"/>
  <c r="I7" i="2"/>
  <c r="H57" i="2"/>
  <c r="BD48" i="2"/>
  <c r="H68" i="2"/>
  <c r="H18" i="2"/>
  <c r="H42" i="2"/>
  <c r="BJ50" i="2"/>
  <c r="BJ18" i="2"/>
  <c r="BJ24" i="2"/>
  <c r="BJ10" i="2"/>
  <c r="H9" i="2"/>
  <c r="I45" i="2"/>
  <c r="H45" i="2"/>
  <c r="H46" i="2"/>
  <c r="I50" i="2"/>
  <c r="BJ46" i="2"/>
  <c r="BJ32" i="2"/>
  <c r="H6" i="2"/>
  <c r="I31" i="2"/>
  <c r="BJ9" i="2"/>
  <c r="BD27" i="2"/>
  <c r="H73" i="2"/>
  <c r="I47" i="2"/>
  <c r="H74" i="2"/>
  <c r="BK11" i="2"/>
  <c r="BJ41" i="2"/>
  <c r="BJ27" i="2"/>
  <c r="BJ13" i="2"/>
  <c r="I20" i="2"/>
  <c r="H36" i="2"/>
  <c r="BJ40" i="2"/>
  <c r="BJ26" i="2"/>
  <c r="BJ12" i="2"/>
  <c r="I74" i="2"/>
  <c r="J6" i="2"/>
  <c r="BG8" i="2" s="1"/>
  <c r="BJ52" i="2"/>
  <c r="BJ39" i="2"/>
  <c r="BJ25" i="2"/>
  <c r="BJ31" i="2"/>
  <c r="I37" i="2"/>
  <c r="BJ51" i="2"/>
  <c r="BJ44" i="2"/>
  <c r="H20" i="2"/>
  <c r="H60" i="2"/>
  <c r="BJ23" i="2"/>
  <c r="BJ43" i="2"/>
  <c r="H61" i="2"/>
  <c r="I38" i="2"/>
  <c r="BJ48" i="2"/>
  <c r="I10" i="2"/>
  <c r="J35" i="2"/>
  <c r="J34" i="2"/>
  <c r="BJ47" i="2"/>
  <c r="F122" i="2"/>
  <c r="BD19" i="2"/>
  <c r="BJ38" i="2"/>
  <c r="BJ49" i="2"/>
  <c r="J38" i="2"/>
  <c r="I24" i="2"/>
  <c r="H70" i="2"/>
  <c r="BD14" i="2"/>
  <c r="BJ21" i="2"/>
  <c r="BJ8" i="2"/>
  <c r="J59" i="2"/>
  <c r="BD25" i="2"/>
  <c r="BD12" i="2"/>
  <c r="I43" i="2"/>
  <c r="BJ20" i="2"/>
  <c r="BJ7" i="2"/>
  <c r="I61" i="2"/>
  <c r="J26" i="2"/>
  <c r="BJ37" i="2"/>
  <c r="I39" i="2"/>
  <c r="BK25" i="2" s="1"/>
  <c r="I49" i="2"/>
  <c r="J71" i="2"/>
  <c r="BJ35" i="2"/>
  <c r="BJ17" i="2"/>
  <c r="BF16" i="2"/>
  <c r="BJ34" i="2"/>
  <c r="I14" i="2"/>
  <c r="H25" i="2"/>
  <c r="H34" i="2"/>
  <c r="BK22" i="2" s="1"/>
  <c r="BD32" i="2"/>
  <c r="H14" i="2"/>
  <c r="I26" i="2"/>
  <c r="BK18" i="2" s="1"/>
  <c r="I35" i="2"/>
  <c r="I71" i="2"/>
  <c r="I15" i="2"/>
  <c r="J44" i="2"/>
  <c r="BF32" i="2" s="1"/>
  <c r="BJ6" i="2"/>
  <c r="BD33" i="2"/>
  <c r="BJ33" i="2"/>
  <c r="H15" i="2"/>
  <c r="I60" i="2"/>
  <c r="I73" i="2"/>
  <c r="J47" i="2"/>
  <c r="J39" i="2"/>
  <c r="BJ5" i="2"/>
  <c r="BJ11" i="2"/>
  <c r="J27" i="2"/>
  <c r="H27" i="2"/>
  <c r="BD20" i="2"/>
  <c r="J69" i="2"/>
  <c r="H69" i="2"/>
  <c r="I69" i="2"/>
  <c r="BJ45" i="2"/>
  <c r="H21" i="2"/>
  <c r="I21" i="2"/>
  <c r="BD50" i="2"/>
  <c r="I76" i="2"/>
  <c r="J76" i="2"/>
  <c r="J64" i="2"/>
  <c r="H64" i="2"/>
  <c r="BD43" i="2"/>
  <c r="I64" i="2"/>
  <c r="H53" i="2"/>
  <c r="J53" i="2"/>
  <c r="BF38" i="2" s="1"/>
  <c r="BD37" i="2"/>
  <c r="I53" i="2"/>
  <c r="I27" i="2"/>
  <c r="J75" i="2"/>
  <c r="H75" i="2"/>
  <c r="BD44" i="2"/>
  <c r="J63" i="2"/>
  <c r="BG44" i="2" s="1"/>
  <c r="H63" i="2"/>
  <c r="J52" i="2"/>
  <c r="BD35" i="2"/>
  <c r="H52" i="2"/>
  <c r="I52" i="2"/>
  <c r="BG16" i="2"/>
  <c r="BE16" i="2"/>
  <c r="I58" i="2"/>
  <c r="H58" i="2"/>
  <c r="BD5" i="2"/>
  <c r="I67" i="2"/>
  <c r="BK47" i="2" s="1"/>
  <c r="BD47" i="2"/>
  <c r="J67" i="2"/>
  <c r="BD38" i="2"/>
  <c r="I56" i="2"/>
  <c r="H11" i="2"/>
  <c r="I11" i="2"/>
  <c r="BD9" i="2"/>
  <c r="J55" i="2"/>
  <c r="BD39" i="2"/>
  <c r="I55" i="2"/>
  <c r="BD30" i="2"/>
  <c r="I44" i="2"/>
  <c r="BD17" i="2"/>
  <c r="BD21" i="2"/>
  <c r="BD40" i="2"/>
  <c r="I65" i="2"/>
  <c r="H65" i="2"/>
  <c r="BD31" i="2"/>
  <c r="J43" i="2"/>
  <c r="BE31" i="2" s="1"/>
  <c r="I22" i="2"/>
  <c r="J22" i="2"/>
  <c r="BF14" i="2" s="1"/>
  <c r="BD42" i="2"/>
  <c r="BD6" i="2"/>
  <c r="H8" i="2"/>
  <c r="I8" i="2"/>
  <c r="H50" i="2"/>
  <c r="BD34" i="2"/>
  <c r="BD26" i="2"/>
  <c r="H40" i="2"/>
  <c r="J19" i="2"/>
  <c r="BG13" i="2" s="1"/>
  <c r="BD15" i="2"/>
  <c r="H19" i="2"/>
  <c r="I19" i="2"/>
  <c r="H7" i="2"/>
  <c r="H56" i="2"/>
  <c r="BD13" i="2"/>
  <c r="BD23" i="2"/>
  <c r="H30" i="2"/>
  <c r="J30" i="2"/>
  <c r="BD24" i="2"/>
  <c r="BD7" i="2"/>
  <c r="BD29" i="2"/>
  <c r="BD45" i="2"/>
  <c r="H72" i="2"/>
  <c r="I72" i="2"/>
  <c r="BK52" i="2" s="1"/>
  <c r="J72" i="2"/>
  <c r="BD52" i="2"/>
  <c r="BD51" i="2"/>
  <c r="BD16" i="2"/>
  <c r="J65" i="2"/>
  <c r="BF46" i="2" s="1"/>
  <c r="BD49" i="2"/>
  <c r="I59" i="2"/>
  <c r="BD41" i="2"/>
  <c r="J48" i="2"/>
  <c r="BD36" i="2"/>
  <c r="H48" i="2"/>
  <c r="H28" i="2"/>
  <c r="J28" i="2"/>
  <c r="BD18" i="2"/>
  <c r="H16" i="2"/>
  <c r="BD10" i="2"/>
  <c r="J16" i="2"/>
  <c r="BG10" i="2" s="1"/>
  <c r="BJ19" i="2"/>
  <c r="J36" i="2"/>
  <c r="I36" i="2"/>
  <c r="BD28" i="2"/>
  <c r="J13" i="2"/>
  <c r="BE9" i="2" s="1"/>
  <c r="H13" i="2"/>
  <c r="BD46" i="2"/>
  <c r="I68" i="2"/>
  <c r="BD11" i="2"/>
  <c r="J12" i="2"/>
  <c r="I12" i="2"/>
  <c r="H23" i="2"/>
  <c r="H51" i="2"/>
  <c r="H62" i="2"/>
  <c r="H24" i="2"/>
  <c r="BK19" i="2" s="1"/>
  <c r="I34" i="2"/>
  <c r="BK33" i="2" l="1"/>
  <c r="BE6" i="2"/>
  <c r="BG6" i="2"/>
  <c r="BG21" i="2"/>
  <c r="BK40" i="2"/>
  <c r="BF40" i="2"/>
  <c r="BK36" i="2"/>
  <c r="BK30" i="2"/>
  <c r="BK29" i="2"/>
  <c r="BK21" i="2"/>
  <c r="BE21" i="2"/>
  <c r="BK6" i="2"/>
  <c r="BE5" i="2"/>
  <c r="BG5" i="2"/>
  <c r="BF6" i="2"/>
  <c r="BE40" i="2"/>
  <c r="BK24" i="2"/>
  <c r="BE8" i="2"/>
  <c r="BK37" i="2"/>
  <c r="BK44" i="2"/>
  <c r="BG47" i="2"/>
  <c r="BF48" i="2"/>
  <c r="BF39" i="2"/>
  <c r="BK20" i="2"/>
  <c r="BK7" i="2"/>
  <c r="BK8" i="2"/>
  <c r="BK31" i="2"/>
  <c r="BE22" i="2"/>
  <c r="BF26" i="2"/>
  <c r="BG42" i="2"/>
  <c r="BF34" i="2"/>
  <c r="BK10" i="2"/>
  <c r="BK5" i="2"/>
  <c r="BG32" i="2"/>
  <c r="BG38" i="2"/>
  <c r="BK14" i="2"/>
  <c r="BK49" i="2"/>
  <c r="BE7" i="2"/>
  <c r="BE32" i="2"/>
  <c r="BG25" i="2"/>
  <c r="BG30" i="2"/>
  <c r="BF49" i="2"/>
  <c r="BF8" i="2"/>
  <c r="BF30" i="2"/>
  <c r="BG7" i="2"/>
  <c r="BF7" i="2"/>
  <c r="BK32" i="2"/>
  <c r="BK27" i="2"/>
  <c r="BE26" i="2"/>
  <c r="BK26" i="2"/>
  <c r="BF22" i="2"/>
  <c r="BK46" i="2"/>
  <c r="BG49" i="2"/>
  <c r="BK28" i="2"/>
  <c r="BE43" i="2"/>
  <c r="BK16" i="2"/>
  <c r="BE20" i="2"/>
  <c r="BF41" i="2"/>
  <c r="BF25" i="2"/>
  <c r="BE38" i="2"/>
  <c r="BE25" i="2"/>
  <c r="BK15" i="2"/>
  <c r="BK43" i="2"/>
  <c r="BK50" i="2"/>
  <c r="BK41" i="2"/>
  <c r="BK48" i="2"/>
  <c r="BK38" i="2"/>
  <c r="BG14" i="2"/>
  <c r="BG22" i="2"/>
  <c r="BG41" i="2"/>
  <c r="BG26" i="2"/>
  <c r="BF17" i="2"/>
  <c r="BK12" i="2"/>
  <c r="BE30" i="2"/>
  <c r="BE46" i="2"/>
  <c r="BE17" i="2"/>
  <c r="BG17" i="2"/>
  <c r="BK17" i="2"/>
  <c r="BF20" i="2"/>
  <c r="BE39" i="2"/>
  <c r="BK13" i="2"/>
  <c r="BG20" i="2"/>
  <c r="BE14" i="2"/>
  <c r="BG33" i="2"/>
  <c r="BE33" i="2"/>
  <c r="BF33" i="2"/>
  <c r="BF42" i="2"/>
  <c r="BE42" i="2"/>
  <c r="BG43" i="2"/>
  <c r="BF43" i="2"/>
  <c r="BG29" i="2"/>
  <c r="BF29" i="2"/>
  <c r="BE29" i="2"/>
  <c r="BF31" i="2"/>
  <c r="BF24" i="2"/>
  <c r="BE24" i="2"/>
  <c r="BG24" i="2"/>
  <c r="BG23" i="2"/>
  <c r="BF23" i="2"/>
  <c r="BE23" i="2"/>
  <c r="BK35" i="2"/>
  <c r="BE52" i="2"/>
  <c r="BG52" i="2"/>
  <c r="BE51" i="2"/>
  <c r="BG51" i="2"/>
  <c r="BF51" i="2"/>
  <c r="BF52" i="2"/>
  <c r="BK23" i="2"/>
  <c r="BK45" i="2"/>
  <c r="BE34" i="2"/>
  <c r="BE50" i="2"/>
  <c r="BG50" i="2"/>
  <c r="BF50" i="2"/>
  <c r="BE49" i="2"/>
  <c r="BG19" i="2"/>
  <c r="BF19" i="2"/>
  <c r="BE19" i="2"/>
  <c r="BE18" i="2"/>
  <c r="BK34" i="2"/>
  <c r="BF13" i="2"/>
  <c r="BE15" i="2"/>
  <c r="BG39" i="2"/>
  <c r="BG34" i="2"/>
  <c r="BG31" i="2"/>
  <c r="BF35" i="2"/>
  <c r="BF36" i="2"/>
  <c r="BE36" i="2"/>
  <c r="BG36" i="2"/>
  <c r="BG35" i="2"/>
  <c r="BE35" i="2"/>
  <c r="BK51" i="2"/>
  <c r="BK9" i="2"/>
  <c r="BF10" i="2"/>
  <c r="BF15" i="2"/>
  <c r="BE10" i="2"/>
  <c r="BF44" i="2"/>
  <c r="BE44" i="2"/>
  <c r="BE41" i="2"/>
  <c r="BG37" i="2"/>
  <c r="BE37" i="2"/>
  <c r="BF37" i="2"/>
  <c r="BG9" i="2"/>
  <c r="BF47" i="2"/>
  <c r="BK42" i="2"/>
  <c r="BE28" i="2"/>
  <c r="BF28" i="2"/>
  <c r="BG27" i="2"/>
  <c r="BE27" i="2"/>
  <c r="BG28" i="2"/>
  <c r="BF27" i="2"/>
  <c r="BE45" i="2"/>
  <c r="BF45" i="2"/>
  <c r="BG45" i="2"/>
  <c r="BE13" i="2"/>
  <c r="BE48" i="2"/>
  <c r="BG15" i="2"/>
  <c r="BE47" i="2"/>
  <c r="BG18" i="2"/>
  <c r="BF18" i="2"/>
  <c r="BK39" i="2"/>
  <c r="BG48" i="2"/>
  <c r="BG46" i="2"/>
  <c r="BF9" i="2"/>
  <c r="BE11" i="2"/>
  <c r="BE12" i="2"/>
  <c r="BG12" i="2"/>
  <c r="BG11" i="2"/>
  <c r="BF11" i="2"/>
  <c r="BF12" i="2"/>
  <c r="BL23" i="2" l="1"/>
  <c r="BL8" i="2"/>
  <c r="BL39" i="2"/>
  <c r="BL32" i="2"/>
  <c r="BL6" i="2"/>
  <c r="BL33" i="2"/>
  <c r="BL30" i="2"/>
  <c r="BL5" i="2"/>
  <c r="BL7" i="2"/>
  <c r="BL29" i="2"/>
  <c r="BL31" i="2"/>
  <c r="BL18" i="2"/>
  <c r="BL42" i="2"/>
  <c r="BL20" i="2"/>
  <c r="BL27" i="2"/>
  <c r="BL14" i="2"/>
  <c r="BL15" i="2"/>
  <c r="BL44" i="2"/>
  <c r="BL51" i="2"/>
  <c r="BL25" i="2"/>
  <c r="BL36" i="2"/>
  <c r="BL45" i="2"/>
  <c r="BL26" i="2"/>
  <c r="BL28" i="2"/>
  <c r="BL16" i="2"/>
  <c r="BL19" i="2"/>
  <c r="BL17" i="2"/>
  <c r="BL43" i="2"/>
  <c r="BL13" i="2"/>
  <c r="BL12" i="2"/>
  <c r="BL41" i="2"/>
  <c r="BL37" i="2"/>
  <c r="BL35" i="2"/>
  <c r="BL52" i="2"/>
  <c r="BL10" i="2"/>
  <c r="BL50" i="2"/>
  <c r="BL47" i="2"/>
  <c r="BL49" i="2"/>
  <c r="BL46" i="2"/>
  <c r="BL24" i="2"/>
  <c r="BL22" i="2"/>
  <c r="BL38" i="2"/>
  <c r="BL9" i="2"/>
  <c r="BL11" i="2"/>
  <c r="BL21" i="2"/>
  <c r="BL34" i="2"/>
  <c r="BL48" i="2"/>
  <c r="BL40" i="2"/>
  <c r="X8" i="2" l="1" a="1"/>
  <c r="X8" i="2" s="1"/>
  <c r="AB9" i="2" a="1"/>
  <c r="AB9" i="2" s="1"/>
  <c r="O9" i="2" a="1"/>
  <c r="O9" i="2" s="1"/>
  <c r="Q10" i="2" a="1"/>
  <c r="Q10" i="2" s="1"/>
  <c r="C92" i="2" a="1"/>
  <c r="C92" i="2" s="1"/>
  <c r="R10" i="2" a="1"/>
  <c r="R10" i="2" s="1"/>
  <c r="O11" i="2" a="1"/>
  <c r="O11" i="2" s="1"/>
  <c r="R8" i="2" a="1"/>
  <c r="R8" i="2" s="1"/>
  <c r="Q11" i="2" a="1"/>
  <c r="Q11" i="2" s="1"/>
  <c r="V10" i="2" a="1"/>
  <c r="V10" i="2" s="1"/>
  <c r="U10" i="2" a="1"/>
  <c r="U10" i="2" s="1"/>
  <c r="C98" i="2" a="1"/>
  <c r="C98" i="2" s="1"/>
  <c r="U9" i="2" a="1"/>
  <c r="U9" i="2" s="1"/>
  <c r="R11" i="2" a="1"/>
  <c r="R11" i="2" s="1"/>
  <c r="T11" i="2" a="1"/>
  <c r="T11" i="2" s="1"/>
  <c r="P11" i="2" a="1"/>
  <c r="P11" i="2" s="1"/>
  <c r="S10" i="2" a="1"/>
  <c r="S10" i="2" s="1"/>
  <c r="P9" i="2" a="1"/>
  <c r="P9" i="2" s="1"/>
  <c r="Q9" i="2" a="1"/>
  <c r="Q9" i="2" s="1"/>
  <c r="S11" i="2" a="1"/>
  <c r="S11" i="2" s="1"/>
  <c r="S9" i="2" a="1"/>
  <c r="S9" i="2" s="1"/>
  <c r="R9" i="2" a="1"/>
  <c r="R9" i="2" s="1"/>
  <c r="T9" i="2" a="1"/>
  <c r="T9" i="2" s="1"/>
  <c r="T10" i="2" a="1"/>
  <c r="T10" i="2" s="1"/>
  <c r="V8" i="2" a="1"/>
  <c r="V8" i="2" s="1"/>
  <c r="Q8" i="2" a="1"/>
  <c r="Q8" i="2" s="1"/>
  <c r="T8" i="2" a="1"/>
  <c r="T8" i="2" s="1"/>
  <c r="N8" i="2" a="1"/>
  <c r="N8" i="2" s="1"/>
  <c r="O10" i="2" a="1"/>
  <c r="O10" i="2" s="1"/>
  <c r="P8" i="2" a="1"/>
  <c r="P8" i="2" s="1"/>
  <c r="U8" i="2" a="1"/>
  <c r="U8" i="2" s="1"/>
  <c r="U11" i="2" a="1"/>
  <c r="U11" i="2" s="1"/>
  <c r="O8" i="2" a="1"/>
  <c r="O8" i="2" s="1"/>
  <c r="P10" i="2" a="1"/>
  <c r="P10" i="2" s="1"/>
  <c r="N11" i="2" a="1"/>
  <c r="N11" i="2" s="1"/>
  <c r="V11" i="2" a="1"/>
  <c r="V11" i="2" s="1"/>
  <c r="S8" i="2" a="1"/>
  <c r="S8" i="2" s="1"/>
  <c r="V9" i="2" a="1"/>
  <c r="V9" i="2" s="1"/>
  <c r="N9" i="2" a="1"/>
  <c r="N9" i="2" s="1"/>
  <c r="AH9" i="2" a="1"/>
  <c r="AH9" i="2" s="1"/>
  <c r="F92" i="2" a="1"/>
  <c r="F92" i="2" s="1"/>
  <c r="N10" i="2" a="1"/>
  <c r="N10" i="2" s="1"/>
  <c r="AE11" i="2" a="1"/>
  <c r="AE11" i="2" s="1"/>
  <c r="AF33" i="2" a="1"/>
  <c r="AF33" i="2" s="1"/>
  <c r="AM16" i="2" a="1"/>
  <c r="AM16" i="2" s="1"/>
  <c r="AE8" i="2" a="1"/>
  <c r="AE8" i="2" s="1"/>
  <c r="AM10" i="2" a="1"/>
  <c r="AM10" i="2" s="1"/>
  <c r="S34" i="2" a="1"/>
  <c r="S34" i="2" s="1"/>
  <c r="AK9" i="2" a="1"/>
  <c r="AK9" i="2" s="1"/>
  <c r="AP27" i="2" a="1"/>
  <c r="AP27" i="2" s="1"/>
  <c r="O19" i="2" a="1"/>
  <c r="O19" i="2" s="1"/>
  <c r="V26" i="2" a="1"/>
  <c r="V26" i="2" s="1"/>
  <c r="X9" i="2" a="1"/>
  <c r="X9" i="2" s="1"/>
  <c r="AD18" i="2" a="1"/>
  <c r="AD18" i="2" s="1"/>
  <c r="X25" i="2" a="1"/>
  <c r="X25" i="2" s="1"/>
  <c r="AF32" i="2" a="1"/>
  <c r="AF32" i="2" s="1"/>
  <c r="Z24" i="2" a="1"/>
  <c r="Z24" i="2" s="1"/>
  <c r="C107" i="2" a="1"/>
  <c r="C107" i="2" s="1"/>
  <c r="N35" i="2" a="1"/>
  <c r="N35" i="2" s="1"/>
  <c r="C93" i="2" a="1"/>
  <c r="C93" i="2" s="1"/>
  <c r="AD34" i="2" a="1"/>
  <c r="AD34" i="2" s="1"/>
  <c r="Y34" i="2" a="1"/>
  <c r="Y34" i="2" s="1"/>
  <c r="AA16" i="2" a="1"/>
  <c r="AA16" i="2" s="1"/>
  <c r="V18" i="2" a="1"/>
  <c r="V18" i="2" s="1"/>
  <c r="AJ18" i="2" a="1"/>
  <c r="AJ18" i="2" s="1"/>
  <c r="AA19" i="2" a="1"/>
  <c r="AA19" i="2" s="1"/>
  <c r="Q16" i="2" a="1"/>
  <c r="Q16" i="2" s="1"/>
  <c r="AD9" i="2" a="1"/>
  <c r="AD9" i="2" s="1"/>
  <c r="AI18" i="2" a="1"/>
  <c r="AI18" i="2" s="1"/>
  <c r="Y18" i="2" a="1"/>
  <c r="Y18" i="2" s="1"/>
  <c r="AI19" i="2" a="1"/>
  <c r="AI19" i="2" s="1"/>
  <c r="AO26" i="2" a="1"/>
  <c r="AO26" i="2" s="1"/>
  <c r="X35" i="2" a="1"/>
  <c r="X35" i="2" s="1"/>
  <c r="AI24" i="2" a="1"/>
  <c r="AI24" i="2" s="1"/>
  <c r="AN8" i="2" a="1"/>
  <c r="AN8" i="2" s="1"/>
  <c r="AL19" i="2" a="1"/>
  <c r="AL19" i="2" s="1"/>
  <c r="AP18" i="2" a="1"/>
  <c r="AP18" i="2" s="1"/>
  <c r="Q33" i="2" a="1"/>
  <c r="Q33" i="2" s="1"/>
  <c r="AE16" i="2" a="1"/>
  <c r="AE16" i="2" s="1"/>
  <c r="AB17" i="2" a="1"/>
  <c r="AB17" i="2" s="1"/>
  <c r="AI33" i="2" a="1"/>
  <c r="AI33" i="2" s="1"/>
  <c r="AI8" i="2" a="1"/>
  <c r="AI8" i="2" s="1"/>
  <c r="AE9" i="2" a="1"/>
  <c r="AE9" i="2" s="1"/>
  <c r="AB33" i="2" a="1"/>
  <c r="AB33" i="2" s="1"/>
  <c r="O33" i="2" a="1"/>
  <c r="O33" i="2" s="1"/>
  <c r="P27" i="2" a="1"/>
  <c r="P27" i="2" s="1"/>
  <c r="AO18" i="2" a="1"/>
  <c r="AO18" i="2" s="1"/>
  <c r="AB18" i="2" a="1"/>
  <c r="AB18" i="2" s="1"/>
  <c r="Q17" i="2" a="1"/>
  <c r="Q17" i="2" s="1"/>
  <c r="Z27" i="2" a="1"/>
  <c r="Z27" i="2" s="1"/>
  <c r="AB24" i="2" a="1"/>
  <c r="AB24" i="2" s="1"/>
  <c r="Y11" i="2" a="1"/>
  <c r="Y11" i="2" s="1"/>
  <c r="R26" i="2" a="1"/>
  <c r="R26" i="2" s="1"/>
  <c r="AP17" i="2" a="1"/>
  <c r="AP17" i="2" s="1"/>
  <c r="AC16" i="2" a="1"/>
  <c r="AC16" i="2" s="1"/>
  <c r="V24" i="2" a="1"/>
  <c r="V24" i="2" s="1"/>
  <c r="AB27" i="2" a="1"/>
  <c r="AB27" i="2" s="1"/>
  <c r="AJ25" i="2" a="1"/>
  <c r="AJ25" i="2" s="1"/>
  <c r="Q24" i="2" a="1"/>
  <c r="Q24" i="2" s="1"/>
  <c r="AC19" i="2" a="1"/>
  <c r="AC19" i="2" s="1"/>
  <c r="AP11" i="2" a="1"/>
  <c r="AP11" i="2" s="1"/>
  <c r="S24" i="2" a="1"/>
  <c r="S24" i="2" s="1"/>
  <c r="AA10" i="2" a="1"/>
  <c r="AA10" i="2" s="1"/>
  <c r="AC10" i="2" a="1"/>
  <c r="AC10" i="2" s="1"/>
  <c r="AA24" i="2" a="1"/>
  <c r="AA24" i="2" s="1"/>
  <c r="U19" i="2" a="1"/>
  <c r="U19" i="2" s="1"/>
  <c r="AA17" i="2" a="1"/>
  <c r="AA17" i="2" s="1"/>
  <c r="AA8" i="2" a="1"/>
  <c r="AA8" i="2" s="1"/>
  <c r="Z10" i="2" a="1"/>
  <c r="Z10" i="2" s="1"/>
  <c r="Y33" i="2" a="1"/>
  <c r="Y33" i="2" s="1"/>
  <c r="AC27" i="2" a="1"/>
  <c r="AC27" i="2" s="1"/>
  <c r="AK35" i="2" a="1"/>
  <c r="AK35" i="2" s="1"/>
  <c r="AN16" i="2" a="1"/>
  <c r="AN16" i="2" s="1"/>
  <c r="P24" i="2" a="1"/>
  <c r="P24" i="2" s="1"/>
  <c r="F97" i="2" a="1"/>
  <c r="F97" i="2" s="1"/>
  <c r="N19" i="2" a="1"/>
  <c r="N19" i="2" s="1"/>
  <c r="AC11" i="2" a="1"/>
  <c r="AC11" i="2" s="1"/>
  <c r="Y9" i="2" a="1"/>
  <c r="Y9" i="2" s="1"/>
  <c r="AA27" i="2" a="1"/>
  <c r="AA27" i="2" s="1"/>
  <c r="AE17" i="2" a="1"/>
  <c r="AE17" i="2" s="1"/>
  <c r="AB25" i="2" a="1"/>
  <c r="AB25" i="2" s="1"/>
  <c r="Q34" i="2" a="1"/>
  <c r="Q34" i="2" s="1"/>
  <c r="AI26" i="2" a="1"/>
  <c r="AI26" i="2" s="1"/>
  <c r="V33" i="2" a="1"/>
  <c r="V33" i="2" s="1"/>
  <c r="AN25" i="2" a="1"/>
  <c r="AN25" i="2" s="1"/>
  <c r="AP16" i="2" a="1"/>
  <c r="AP16" i="2" s="1"/>
  <c r="C103" i="2" a="1"/>
  <c r="C103" i="2" s="1"/>
  <c r="AK8" i="2" a="1"/>
  <c r="AK8" i="2" s="1"/>
  <c r="AK26" i="2" a="1"/>
  <c r="AK26" i="2" s="1"/>
  <c r="AB19" i="2" a="1"/>
  <c r="AB19" i="2" s="1"/>
  <c r="C99" i="2" a="1"/>
  <c r="C99" i="2" s="1"/>
  <c r="AL34" i="2" a="1"/>
  <c r="AL34" i="2" s="1"/>
  <c r="AE25" i="2" a="1"/>
  <c r="AE25" i="2" s="1"/>
  <c r="AM25" i="2" a="1"/>
  <c r="AM25" i="2" s="1"/>
  <c r="AJ26" i="2" a="1"/>
  <c r="AJ26" i="2" s="1"/>
  <c r="N32" i="2" a="1"/>
  <c r="N32" i="2" s="1"/>
  <c r="T24" i="2" a="1"/>
  <c r="T24" i="2" s="1"/>
  <c r="AP26" i="2" a="1"/>
  <c r="AP26" i="2" s="1"/>
  <c r="AJ10" i="2" a="1"/>
  <c r="AJ10" i="2" s="1"/>
  <c r="AC24" i="2" a="1"/>
  <c r="AC24" i="2" s="1"/>
  <c r="AH19" i="2" a="1"/>
  <c r="AH19" i="2" s="1"/>
  <c r="O26" i="2" a="1"/>
  <c r="O26" i="2" s="1"/>
  <c r="N17" i="2" a="1"/>
  <c r="N17" i="2" s="1"/>
  <c r="F107" i="2" a="1"/>
  <c r="F107" i="2" s="1"/>
  <c r="X18" i="2" a="1"/>
  <c r="X18" i="2" s="1"/>
  <c r="AL18" i="2" a="1"/>
  <c r="AL18" i="2" s="1"/>
  <c r="Y24" i="2" a="1"/>
  <c r="Y24" i="2" s="1"/>
  <c r="Z26" i="2" a="1"/>
  <c r="Z26" i="2" s="1"/>
  <c r="AO11" i="2" a="1"/>
  <c r="AO11" i="2" s="1"/>
  <c r="AN11" i="2" a="1"/>
  <c r="AN11" i="2" s="1"/>
  <c r="S17" i="2" a="1"/>
  <c r="S17" i="2" s="1"/>
  <c r="T26" i="2" a="1"/>
  <c r="T26" i="2" s="1"/>
  <c r="Q35" i="2" a="1"/>
  <c r="Q35" i="2" s="1"/>
  <c r="AN9" i="2" a="1"/>
  <c r="AN9" i="2" s="1"/>
  <c r="C94" i="2" a="1"/>
  <c r="C94" i="2" s="1"/>
  <c r="AN24" i="2" a="1"/>
  <c r="AN24" i="2" s="1"/>
  <c r="C101" i="2" a="1"/>
  <c r="C101" i="2" s="1"/>
  <c r="S25" i="2" a="1"/>
  <c r="S25" i="2" s="1"/>
  <c r="AE26" i="2" a="1"/>
  <c r="AE26" i="2" s="1"/>
  <c r="S19" i="2" a="1"/>
  <c r="S19" i="2" s="1"/>
  <c r="U17" i="2" a="1"/>
  <c r="U17" i="2" s="1"/>
  <c r="AL27" i="2" a="1"/>
  <c r="AL27" i="2" s="1"/>
  <c r="Z25" i="2" a="1"/>
  <c r="Z25" i="2" s="1"/>
  <c r="AI32" i="2" a="1"/>
  <c r="AI32" i="2" s="1"/>
  <c r="AK11" i="2" a="1"/>
  <c r="AK11" i="2" s="1"/>
  <c r="AC9" i="2" a="1"/>
  <c r="AC9" i="2" s="1"/>
  <c r="AE27" i="2" a="1"/>
  <c r="AE27" i="2" s="1"/>
  <c r="AK16" i="2" a="1"/>
  <c r="AK16" i="2" s="1"/>
  <c r="AI27" i="2" a="1"/>
  <c r="AI27" i="2" s="1"/>
  <c r="T35" i="2" a="1"/>
  <c r="T35" i="2" s="1"/>
  <c r="AB8" i="2" a="1"/>
  <c r="AB8" i="2" s="1"/>
  <c r="AO19" i="2" a="1"/>
  <c r="AO19" i="2" s="1"/>
  <c r="F94" i="2" a="1"/>
  <c r="F94" i="2" s="1"/>
  <c r="U33" i="2" a="1"/>
  <c r="U33" i="2" s="1"/>
  <c r="AL24" i="2" a="1"/>
  <c r="AL24" i="2" s="1"/>
  <c r="S33" i="2" a="1"/>
  <c r="S33" i="2" s="1"/>
  <c r="AD19" i="2" a="1"/>
  <c r="AD19" i="2" s="1"/>
  <c r="V35" i="2" a="1"/>
  <c r="V35" i="2" s="1"/>
  <c r="C97" i="2" a="1"/>
  <c r="C97" i="2" s="1"/>
  <c r="N27" i="2" a="1"/>
  <c r="N27" i="2" s="1"/>
  <c r="AC8" i="2" a="1"/>
  <c r="AC8" i="2" s="1"/>
  <c r="AJ27" i="2" a="1"/>
  <c r="AJ27" i="2" s="1"/>
  <c r="AK24" i="2" a="1"/>
  <c r="AK24" i="2" s="1"/>
  <c r="AA35" i="2" a="1"/>
  <c r="AA35" i="2" s="1"/>
  <c r="U25" i="2" a="1"/>
  <c r="U25" i="2" s="1"/>
  <c r="AF19" i="2" a="1"/>
  <c r="AF19" i="2" s="1"/>
  <c r="Y8" i="2" a="1"/>
  <c r="Y8" i="2" s="1"/>
  <c r="C104" i="2" a="1"/>
  <c r="C104" i="2" s="1"/>
  <c r="AC18" i="2" a="1"/>
  <c r="AC18" i="2" s="1"/>
  <c r="AK10" i="2" a="1"/>
  <c r="AK10" i="2" s="1"/>
  <c r="U27" i="2" a="1"/>
  <c r="U27" i="2" s="1"/>
  <c r="AP24" i="2" a="1"/>
  <c r="AP24" i="2" s="1"/>
  <c r="AM11" i="2" a="1"/>
  <c r="AM11" i="2" s="1"/>
  <c r="P16" i="2" a="1"/>
  <c r="P16" i="2" s="1"/>
  <c r="AO24" i="2" a="1"/>
  <c r="AO24" i="2" s="1"/>
  <c r="AJ24" i="2" a="1"/>
  <c r="AJ24" i="2" s="1"/>
  <c r="Y25" i="2" a="1"/>
  <c r="Y25" i="2" s="1"/>
  <c r="Y32" i="2" a="1"/>
  <c r="Y32" i="2" s="1"/>
  <c r="AH35" i="2" a="1"/>
  <c r="AH35" i="2" s="1"/>
  <c r="Y27" i="2" a="1"/>
  <c r="Y27" i="2" s="1"/>
  <c r="F102" i="2" a="1"/>
  <c r="F102" i="2" s="1"/>
  <c r="AN18" i="2" a="1"/>
  <c r="AN18" i="2" s="1"/>
  <c r="AO34" i="2" a="1"/>
  <c r="AO34" i="2" s="1"/>
  <c r="S35" i="2" a="1"/>
  <c r="S35" i="2" s="1"/>
  <c r="S26" i="2" a="1"/>
  <c r="S26" i="2" s="1"/>
  <c r="T32" i="2" a="1"/>
  <c r="T32" i="2" s="1"/>
  <c r="Z19" i="2" a="1"/>
  <c r="Z19" i="2" s="1"/>
  <c r="X27" i="2" a="1"/>
  <c r="X27" i="2" s="1"/>
  <c r="AD16" i="2" a="1"/>
  <c r="AD16" i="2" s="1"/>
  <c r="AE10" i="2" a="1"/>
  <c r="AE10" i="2" s="1"/>
  <c r="C105" i="2" a="1"/>
  <c r="C105" i="2" s="1"/>
  <c r="AH17" i="2" a="1"/>
  <c r="AH17" i="2" s="1"/>
  <c r="AE32" i="2" a="1"/>
  <c r="AE32" i="2" s="1"/>
  <c r="AC25" i="2" a="1"/>
  <c r="AC25" i="2" s="1"/>
  <c r="Z16" i="2" a="1"/>
  <c r="Z16" i="2" s="1"/>
  <c r="AD24" i="2" a="1"/>
  <c r="AD24" i="2" s="1"/>
  <c r="N16" i="2" a="1"/>
  <c r="N16" i="2" s="1"/>
  <c r="AJ8" i="2" a="1"/>
  <c r="AJ8" i="2" s="1"/>
  <c r="AE33" i="2" a="1"/>
  <c r="AE33" i="2" s="1"/>
  <c r="V19" i="2" a="1"/>
  <c r="V19" i="2" s="1"/>
  <c r="AL26" i="2" a="1"/>
  <c r="AL26" i="2" s="1"/>
  <c r="AD33" i="2" a="1"/>
  <c r="AD33" i="2" s="1"/>
  <c r="V25" i="2" a="1"/>
  <c r="V25" i="2" s="1"/>
  <c r="Z35" i="2" a="1"/>
  <c r="Z35" i="2" s="1"/>
  <c r="AJ9" i="2" a="1"/>
  <c r="AJ9" i="2" s="1"/>
  <c r="AP19" i="2" a="1"/>
  <c r="AP19" i="2" s="1"/>
  <c r="N24" i="2" a="1"/>
  <c r="N24" i="2" s="1"/>
  <c r="AL9" i="2" a="1"/>
  <c r="AL9" i="2" s="1"/>
  <c r="Y35" i="2" a="1"/>
  <c r="Y35" i="2" s="1"/>
  <c r="AK19" i="2" a="1"/>
  <c r="AK19" i="2" s="1"/>
  <c r="AE34" i="2" a="1"/>
  <c r="AE34" i="2" s="1"/>
  <c r="AH18" i="2" a="1"/>
  <c r="AH18" i="2" s="1"/>
  <c r="AF25" i="2" a="1"/>
  <c r="AF25" i="2" s="1"/>
  <c r="Z9" i="2" a="1"/>
  <c r="Z9" i="2" s="1"/>
  <c r="AI25" i="2" a="1"/>
  <c r="AI25" i="2" s="1"/>
  <c r="Z33" i="2" a="1"/>
  <c r="Z33" i="2" s="1"/>
  <c r="AD17" i="2" a="1"/>
  <c r="AD17" i="2" s="1"/>
  <c r="AH11" i="2" a="1"/>
  <c r="AH11" i="2" s="1"/>
  <c r="Q18" i="2" a="1"/>
  <c r="Q18" i="2" s="1"/>
  <c r="AF9" i="2" a="1"/>
  <c r="AF9" i="2" s="1"/>
  <c r="T19" i="2" a="1"/>
  <c r="T19" i="2" s="1"/>
  <c r="AN33" i="2" a="1"/>
  <c r="AN33" i="2" s="1"/>
  <c r="AE19" i="2" a="1"/>
  <c r="AE19" i="2" s="1"/>
  <c r="AH33" i="2" a="1"/>
  <c r="AH33" i="2" s="1"/>
  <c r="AN32" i="2" a="1"/>
  <c r="AN32" i="2" s="1"/>
  <c r="Z17" i="2" a="1"/>
  <c r="Z17" i="2" s="1"/>
  <c r="AE24" i="2" a="1"/>
  <c r="AE24" i="2" s="1"/>
  <c r="AP9" i="2" a="1"/>
  <c r="AP9" i="2" s="1"/>
  <c r="Z18" i="2" a="1"/>
  <c r="Z18" i="2" s="1"/>
  <c r="T17" i="2" a="1"/>
  <c r="T17" i="2" s="1"/>
  <c r="AL17" i="2" a="1"/>
  <c r="AL17" i="2" s="1"/>
  <c r="N33" i="2" a="1"/>
  <c r="N33" i="2" s="1"/>
  <c r="AM18" i="2" a="1"/>
  <c r="AM18" i="2" s="1"/>
  <c r="V17" i="2" a="1"/>
  <c r="V17" i="2" s="1"/>
  <c r="C106" i="2" a="1"/>
  <c r="C106" i="2" s="1"/>
  <c r="AM17" i="2" a="1"/>
  <c r="AM17" i="2" s="1"/>
  <c r="AM35" i="2" a="1"/>
  <c r="AM35" i="2" s="1"/>
  <c r="AD25" i="2" a="1"/>
  <c r="AD25" i="2" s="1"/>
  <c r="AC34" i="2" a="1"/>
  <c r="AC34" i="2" s="1"/>
  <c r="O34" i="2" a="1"/>
  <c r="O34" i="2" s="1"/>
  <c r="AD35" i="2" a="1"/>
  <c r="AD35" i="2" s="1"/>
  <c r="P26" i="2" a="1"/>
  <c r="P26" i="2" s="1"/>
  <c r="AD26" i="2" a="1"/>
  <c r="AD26" i="2" s="1"/>
  <c r="AA33" i="2" a="1"/>
  <c r="AA33" i="2" s="1"/>
  <c r="R27" i="2" a="1"/>
  <c r="R27" i="2" s="1"/>
  <c r="AN27" i="2" a="1"/>
  <c r="AN27" i="2" s="1"/>
  <c r="AP35" i="2" a="1"/>
  <c r="AP35" i="2" s="1"/>
  <c r="R25" i="2" a="1"/>
  <c r="R25" i="2" s="1"/>
  <c r="S18" i="2" a="1"/>
  <c r="S18" i="2" s="1"/>
  <c r="R19" i="2" a="1"/>
  <c r="R19" i="2" s="1"/>
  <c r="T16" i="2" a="1"/>
  <c r="T16" i="2" s="1"/>
  <c r="AD27" i="2" a="1"/>
  <c r="AD27" i="2" s="1"/>
  <c r="AK34" i="2" a="1"/>
  <c r="AK34" i="2" s="1"/>
  <c r="AO10" i="2" a="1"/>
  <c r="AO10" i="2" s="1"/>
  <c r="V16" i="2" a="1"/>
  <c r="V16" i="2" s="1"/>
  <c r="P17" i="2" a="1"/>
  <c r="P17" i="2" s="1"/>
  <c r="AN34" i="2" a="1"/>
  <c r="AN34" i="2" s="1"/>
  <c r="AL11" i="2" a="1"/>
  <c r="AL11" i="2" s="1"/>
  <c r="P35" i="2" a="1"/>
  <c r="P35" i="2" s="1"/>
  <c r="AH10" i="2" a="1"/>
  <c r="AH10" i="2" s="1"/>
  <c r="AF11" i="2" a="1"/>
  <c r="AF11" i="2" s="1"/>
  <c r="AJ16" i="2" a="1"/>
  <c r="AJ16" i="2" s="1"/>
  <c r="AP10" i="2" a="1"/>
  <c r="AP10" i="2" s="1"/>
  <c r="N34" i="2" a="1"/>
  <c r="N34" i="2" s="1"/>
  <c r="U34" i="2" a="1"/>
  <c r="U34" i="2" s="1"/>
  <c r="AA18" i="2" a="1"/>
  <c r="AA18" i="2" s="1"/>
  <c r="Z8" i="2" a="1"/>
  <c r="Z8" i="2" s="1"/>
  <c r="R17" i="2" a="1"/>
  <c r="R17" i="2" s="1"/>
  <c r="R16" i="2" a="1"/>
  <c r="R16" i="2" s="1"/>
  <c r="S16" i="2" a="1"/>
  <c r="S16" i="2" s="1"/>
  <c r="O17" i="2" a="1"/>
  <c r="O17" i="2" s="1"/>
  <c r="U18" i="2" a="1"/>
  <c r="U18" i="2" s="1"/>
  <c r="AP25" i="2" a="1"/>
  <c r="AP25" i="2" s="1"/>
  <c r="AO32" i="2" a="1"/>
  <c r="AO32" i="2" s="1"/>
  <c r="AB16" i="2" a="1"/>
  <c r="AB16" i="2" s="1"/>
  <c r="AC33" i="2" a="1"/>
  <c r="AC33" i="2" s="1"/>
  <c r="AK17" i="2" a="1"/>
  <c r="AK17" i="2" s="1"/>
  <c r="V32" i="2" a="1"/>
  <c r="V32" i="2" s="1"/>
  <c r="AJ11" i="2" a="1"/>
  <c r="AJ11" i="2" s="1"/>
  <c r="AD10" i="2" a="1"/>
  <c r="AD10" i="2" s="1"/>
  <c r="Z32" i="2" a="1"/>
  <c r="Z32" i="2" s="1"/>
  <c r="F95" i="2" a="1"/>
  <c r="F95" i="2" s="1"/>
  <c r="AC35" i="2" a="1"/>
  <c r="AC35" i="2" s="1"/>
  <c r="P32" i="2" a="1"/>
  <c r="P32" i="2" s="1"/>
  <c r="AM34" i="2" a="1"/>
  <c r="AM34" i="2" s="1"/>
  <c r="AN19" i="2" a="1"/>
  <c r="AN19" i="2" s="1"/>
  <c r="AJ34" i="2" a="1"/>
  <c r="AJ34" i="2" s="1"/>
  <c r="P18" i="2" a="1"/>
  <c r="P18" i="2" s="1"/>
  <c r="AH8" i="2" a="1"/>
  <c r="AH8" i="2" s="1"/>
  <c r="AJ32" i="2" a="1"/>
  <c r="AJ32" i="2" s="1"/>
  <c r="R18" i="2" a="1"/>
  <c r="R18" i="2" s="1"/>
  <c r="AA11" i="2" a="1"/>
  <c r="AA11" i="2" s="1"/>
  <c r="AO33" i="2" a="1"/>
  <c r="AO33" i="2" s="1"/>
  <c r="AD8" i="2" a="1"/>
  <c r="AD8" i="2" s="1"/>
  <c r="AM24" i="2" a="1"/>
  <c r="AM24" i="2" s="1"/>
  <c r="S32" i="2" a="1"/>
  <c r="S32" i="2" s="1"/>
  <c r="T27" i="2" a="1"/>
  <c r="T27" i="2" s="1"/>
  <c r="N18" i="2" a="1"/>
  <c r="N18" i="2" s="1"/>
  <c r="AK27" i="2" a="1"/>
  <c r="AK27" i="2" s="1"/>
  <c r="F103" i="2" a="1"/>
  <c r="F103" i="2" s="1"/>
  <c r="AL8" i="2" a="1"/>
  <c r="AL8" i="2" s="1"/>
  <c r="AF17" i="2" a="1"/>
  <c r="AF17" i="2" s="1"/>
  <c r="V27" i="2" a="1"/>
  <c r="V27" i="2" s="1"/>
  <c r="R35" i="2" a="1"/>
  <c r="R35" i="2" s="1"/>
  <c r="U32" i="2" a="1"/>
  <c r="U32" i="2" s="1"/>
  <c r="T18" i="2" a="1"/>
  <c r="T18" i="2" s="1"/>
  <c r="AK18" i="2" a="1"/>
  <c r="AK18" i="2" s="1"/>
  <c r="AO27" i="2" a="1"/>
  <c r="AO27" i="2" s="1"/>
  <c r="AF10" i="2" a="1"/>
  <c r="AF10" i="2" s="1"/>
  <c r="R32" i="2" a="1"/>
  <c r="R32" i="2" s="1"/>
  <c r="P19" i="2" a="1"/>
  <c r="P19" i="2" s="1"/>
  <c r="AA34" i="2" a="1"/>
  <c r="AA34" i="2" s="1"/>
  <c r="Y19" i="2" a="1"/>
  <c r="Y19" i="2" s="1"/>
  <c r="U26" i="2" a="1"/>
  <c r="U26" i="2" s="1"/>
  <c r="AO8" i="2" a="1"/>
  <c r="AO8" i="2" s="1"/>
  <c r="AF8" i="2" a="1"/>
  <c r="AF8" i="2" s="1"/>
  <c r="AB11" i="2" a="1"/>
  <c r="AB11" i="2" s="1"/>
  <c r="AJ17" i="2" a="1"/>
  <c r="AJ17" i="2" s="1"/>
  <c r="AK33" i="2" a="1"/>
  <c r="AK33" i="2" s="1"/>
  <c r="AC32" i="2" a="1"/>
  <c r="AC32" i="2" s="1"/>
  <c r="AE18" i="2" a="1"/>
  <c r="AE18" i="2" s="1"/>
  <c r="A80" i="2" a="1"/>
  <c r="A80" i="2" s="1"/>
  <c r="F93" i="2" s="1"/>
  <c r="AH16" i="2" a="1"/>
  <c r="AH16" i="2" s="1"/>
  <c r="Y26" i="2" a="1"/>
  <c r="Y26" i="2" s="1"/>
  <c r="AP33" i="2" a="1"/>
  <c r="AP33" i="2" s="1"/>
  <c r="AC26" i="2" a="1"/>
  <c r="AC26" i="2" s="1"/>
  <c r="AA26" i="2" a="1"/>
  <c r="AA26" i="2" s="1"/>
  <c r="T33" i="2" a="1"/>
  <c r="T33" i="2" s="1"/>
  <c r="T34" i="2" a="1"/>
  <c r="T34" i="2" s="1"/>
  <c r="AM27" i="2" a="1"/>
  <c r="AM27" i="2" s="1"/>
  <c r="U35" i="2" a="1"/>
  <c r="U35" i="2" s="1"/>
  <c r="AB34" i="2" a="1"/>
  <c r="AB34" i="2" s="1"/>
  <c r="Z34" i="2" a="1"/>
  <c r="Z34" i="2" s="1"/>
  <c r="AM9" i="2" a="1"/>
  <c r="AM9" i="2" s="1"/>
  <c r="C102" i="2" a="1"/>
  <c r="C102" i="2" s="1"/>
  <c r="X34" i="2" a="1"/>
  <c r="X34" i="2" s="1"/>
  <c r="AA9" i="2" a="1"/>
  <c r="AA9" i="2" s="1"/>
  <c r="R24" i="2" a="1"/>
  <c r="R24" i="2" s="1"/>
  <c r="F105" i="2" a="1"/>
  <c r="F105" i="2" s="1"/>
  <c r="AF35" i="2" a="1"/>
  <c r="AF35" i="2" s="1"/>
  <c r="X17" i="2" a="1"/>
  <c r="X17" i="2" s="1"/>
  <c r="Q26" i="2" a="1"/>
  <c r="Q26" i="2" s="1"/>
  <c r="P33" i="2" a="1"/>
  <c r="P33" i="2" s="1"/>
  <c r="Y16" i="2" a="1"/>
  <c r="Y16" i="2" s="1"/>
  <c r="U24" i="2" a="1"/>
  <c r="U24" i="2" s="1"/>
  <c r="T25" i="2" a="1"/>
  <c r="T25" i="2" s="1"/>
  <c r="AM32" i="2" a="1"/>
  <c r="AM32" i="2" s="1"/>
  <c r="AD11" i="2" a="1"/>
  <c r="AD11" i="2" s="1"/>
  <c r="AO17" i="2" a="1"/>
  <c r="AO17" i="2" s="1"/>
  <c r="AL25" i="2" a="1"/>
  <c r="AL25" i="2" s="1"/>
  <c r="O32" i="2" a="1"/>
  <c r="O32" i="2" s="1"/>
  <c r="X26" i="2" a="1"/>
  <c r="X26" i="2" s="1"/>
  <c r="Q19" i="2" a="1"/>
  <c r="Q19" i="2" s="1"/>
  <c r="X19" i="2" a="1"/>
  <c r="X19" i="2" s="1"/>
  <c r="AE35" i="2" a="1"/>
  <c r="AE35" i="2" s="1"/>
  <c r="AH34" i="2" a="1"/>
  <c r="AH34" i="2" s="1"/>
  <c r="AF26" i="2" a="1"/>
  <c r="AF26" i="2" s="1"/>
  <c r="R33" i="2" a="1"/>
  <c r="R33" i="2" s="1"/>
  <c r="V34" i="2" a="1"/>
  <c r="V34" i="2" s="1"/>
  <c r="AI35" i="2" a="1"/>
  <c r="AI35" i="2" s="1"/>
  <c r="AA32" i="2" a="1"/>
  <c r="AA32" i="2" s="1"/>
  <c r="Y17" i="2" a="1"/>
  <c r="Y17" i="2" s="1"/>
  <c r="O35" i="2" a="1"/>
  <c r="O35" i="2" s="1"/>
  <c r="X16" i="2" a="1"/>
  <c r="X16" i="2" s="1"/>
  <c r="X32" i="2" a="1"/>
  <c r="X32" i="2" s="1"/>
  <c r="S27" i="2" a="1"/>
  <c r="S27" i="2" s="1"/>
  <c r="Q25" i="2" a="1"/>
  <c r="Q25" i="2" s="1"/>
  <c r="X24" i="2" a="1"/>
  <c r="X24" i="2" s="1"/>
  <c r="AP8" i="2" a="1"/>
  <c r="AP8" i="2" s="1"/>
  <c r="O25" i="2" a="1"/>
  <c r="O25" i="2" s="1"/>
  <c r="AH24" i="2" a="1"/>
  <c r="AH24" i="2" s="1"/>
  <c r="AA25" i="2" a="1"/>
  <c r="AA25" i="2" s="1"/>
  <c r="AO9" i="2" a="1"/>
  <c r="AO9" i="2" s="1"/>
  <c r="AO16" i="2" a="1"/>
  <c r="AO16" i="2" s="1"/>
  <c r="AC17" i="2" a="1"/>
  <c r="AC17" i="2" s="1"/>
  <c r="AM26" i="2" a="1"/>
  <c r="AM26" i="2" s="1"/>
  <c r="AO25" i="2" a="1"/>
  <c r="AO25" i="2" s="1"/>
  <c r="AF16" i="2" a="1"/>
  <c r="AF16" i="2" s="1"/>
  <c r="AF24" i="2" a="1"/>
  <c r="AF24" i="2" s="1"/>
  <c r="AI17" i="2" a="1"/>
  <c r="AI17" i="2" s="1"/>
  <c r="O18" i="2" a="1"/>
  <c r="O18" i="2" s="1"/>
  <c r="P34" i="2" a="1"/>
  <c r="P34" i="2" s="1"/>
  <c r="P25" i="2" a="1"/>
  <c r="P25" i="2" s="1"/>
  <c r="N26" i="2" a="1"/>
  <c r="N26" i="2" s="1"/>
  <c r="AL10" i="2" a="1"/>
  <c r="AL10" i="2" s="1"/>
  <c r="AL35" i="2" a="1"/>
  <c r="AL35" i="2" s="1"/>
  <c r="AO35" i="2" a="1"/>
  <c r="AO35" i="2" s="1"/>
  <c r="AM8" i="2" a="1"/>
  <c r="AM8" i="2" s="1"/>
  <c r="AM33" i="2" a="1"/>
  <c r="AM33" i="2" s="1"/>
  <c r="AH25" i="2" a="1"/>
  <c r="AH25" i="2" s="1"/>
  <c r="AJ19" i="2" a="1"/>
  <c r="AJ19" i="2" s="1"/>
  <c r="O16" i="2" a="1"/>
  <c r="O16" i="2" s="1"/>
  <c r="AJ33" i="2" a="1"/>
  <c r="AJ33" i="2" s="1"/>
  <c r="C95" i="2" a="1"/>
  <c r="C95" i="2" s="1"/>
  <c r="R34" i="2" a="1"/>
  <c r="R34" i="2" s="1"/>
  <c r="AN10" i="2" a="1"/>
  <c r="AN10" i="2" s="1"/>
  <c r="AI11" i="2" a="1"/>
  <c r="AI11" i="2" s="1"/>
  <c r="AH32" i="2" a="1"/>
  <c r="AH32" i="2" s="1"/>
  <c r="AP34" i="2" a="1"/>
  <c r="AP34" i="2" s="1"/>
  <c r="X33" i="2" a="1"/>
  <c r="X33" i="2" s="1"/>
  <c r="AB35" i="2" a="1"/>
  <c r="AB35" i="2" s="1"/>
  <c r="AI16" i="2" a="1"/>
  <c r="AI16" i="2" s="1"/>
  <c r="AF27" i="2" a="1"/>
  <c r="AF27" i="2" s="1"/>
  <c r="C100" i="2" a="1"/>
  <c r="C100" i="2" s="1"/>
  <c r="AM19" i="2" a="1"/>
  <c r="AM19" i="2" s="1"/>
  <c r="AN26" i="2" a="1"/>
  <c r="AN26" i="2" s="1"/>
  <c r="AI34" i="2" a="1"/>
  <c r="AI34" i="2" s="1"/>
  <c r="AB26" i="2" a="1"/>
  <c r="AB26" i="2" s="1"/>
  <c r="AB32" i="2" a="1"/>
  <c r="AB32" i="2" s="1"/>
  <c r="X10" i="2" a="1"/>
  <c r="X10" i="2" s="1"/>
  <c r="U16" i="2" a="1"/>
  <c r="U16" i="2" s="1"/>
  <c r="O27" i="2" a="1"/>
  <c r="O27" i="2" s="1"/>
  <c r="X11" i="2" a="1"/>
  <c r="X11" i="2" s="1"/>
  <c r="AB10" i="2" a="1"/>
  <c r="AB10" i="2" s="1"/>
  <c r="AN35" i="2" a="1"/>
  <c r="AN35" i="2" s="1"/>
  <c r="AH27" i="2" a="1"/>
  <c r="AH27" i="2" s="1"/>
  <c r="C96" i="2" a="1"/>
  <c r="C96" i="2" s="1"/>
  <c r="Q32" i="2" a="1"/>
  <c r="Q32" i="2" s="1"/>
  <c r="AF18" i="2" a="1"/>
  <c r="AF18" i="2" s="1"/>
  <c r="Q27" i="2" a="1"/>
  <c r="Q27" i="2" s="1"/>
  <c r="AI9" i="2" a="1"/>
  <c r="AI9" i="2" s="1"/>
  <c r="Y10" i="2" a="1"/>
  <c r="Y10" i="2" s="1"/>
  <c r="Z11" i="2" a="1"/>
  <c r="Z11" i="2" s="1"/>
  <c r="AI10" i="2" a="1"/>
  <c r="AI10" i="2" s="1"/>
  <c r="N25" i="2" a="1"/>
  <c r="N25" i="2" s="1"/>
  <c r="AH26" i="2" a="1"/>
  <c r="AH26" i="2" s="1"/>
  <c r="AK32" i="2" a="1"/>
  <c r="AK32" i="2" s="1"/>
  <c r="O24" i="2" a="1"/>
  <c r="O24" i="2" s="1"/>
  <c r="AP32" i="2" a="1"/>
  <c r="AP32" i="2" s="1"/>
  <c r="AL33" i="2" a="1"/>
  <c r="AL33" i="2" s="1"/>
  <c r="AJ35" i="2" a="1"/>
  <c r="AJ35" i="2" s="1"/>
  <c r="AL32" i="2" a="1"/>
  <c r="AL32" i="2" s="1"/>
  <c r="AK25" i="2" a="1"/>
  <c r="AK25" i="2" s="1"/>
  <c r="AN17" i="2" a="1"/>
  <c r="AN17" i="2" s="1"/>
  <c r="AD32" i="2" a="1"/>
  <c r="AD32" i="2" s="1"/>
  <c r="AL16" i="2" a="1"/>
  <c r="AL16" i="2" s="1"/>
  <c r="AF34" i="2" a="1"/>
  <c r="AF34" i="2" s="1"/>
  <c r="F106" i="2" l="1"/>
  <c r="F104" i="2"/>
  <c r="F96" i="2"/>
  <c r="F101" i="2"/>
  <c r="F100" i="2"/>
  <c r="F99" i="2"/>
  <c r="F9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<sst xmlns="http://schemas.openxmlformats.org/spreadsheetml/2006/main" count="792" uniqueCount="299">
  <si>
    <t xml:space="preserve">Name </t>
  </si>
  <si>
    <t>Team</t>
  </si>
  <si>
    <t>Paid</t>
  </si>
  <si>
    <t>Lucy Philpott</t>
  </si>
  <si>
    <t>Tina Louis</t>
  </si>
  <si>
    <t>Ben Eveson</t>
  </si>
  <si>
    <t>Nick Robinson</t>
  </si>
  <si>
    <t>Mike Jackson</t>
  </si>
  <si>
    <t>Matt Perry</t>
  </si>
  <si>
    <t>Scott Wallman</t>
  </si>
  <si>
    <t>Caoimhe Whelan</t>
  </si>
  <si>
    <t>Matt Millar</t>
  </si>
  <si>
    <t>Fabio Allegra</t>
  </si>
  <si>
    <t>Tom Low</t>
  </si>
  <si>
    <t>Sean Gill</t>
  </si>
  <si>
    <t>Marija Skramic</t>
  </si>
  <si>
    <t>Nelly Trakidou</t>
  </si>
  <si>
    <t>Mark Evans</t>
  </si>
  <si>
    <t>Atish Nazir</t>
  </si>
  <si>
    <t>TOTAL</t>
  </si>
  <si>
    <t>🏆 FIFA World Cup 2026 Tracker</t>
  </si>
  <si>
    <t>Enter scores in the Group Stage and Knockout sections. Group tables update automatically. For knockout ties after 90 minutes, type the advancing team in Winner Override.</t>
  </si>
  <si>
    <t>Group</t>
  </si>
  <si>
    <t>Match</t>
  </si>
  <si>
    <t>Home</t>
  </si>
  <si>
    <t>Away</t>
  </si>
  <si>
    <t>Home Score</t>
  </si>
  <si>
    <t>Away Score</t>
  </si>
  <si>
    <t>Played</t>
  </si>
  <si>
    <t>Home Pts</t>
  </si>
  <si>
    <t>Away Pts</t>
  </si>
  <si>
    <t>Result</t>
  </si>
  <si>
    <t>📊 Group Tables</t>
  </si>
  <si>
    <t>P</t>
  </si>
  <si>
    <t>W</t>
  </si>
  <si>
    <t>D</t>
  </si>
  <si>
    <t>L</t>
  </si>
  <si>
    <t>GF</t>
  </si>
  <si>
    <t>GA</t>
  </si>
  <si>
    <t>GD</t>
  </si>
  <si>
    <t>Pts</t>
  </si>
  <si>
    <t>Rank</t>
  </si>
  <si>
    <t>A</t>
  </si>
  <si>
    <t>A1</t>
  </si>
  <si>
    <t>Mexico</t>
  </si>
  <si>
    <t>South Africa</t>
  </si>
  <si>
    <t>A2</t>
  </si>
  <si>
    <t>Korea Republic</t>
  </si>
  <si>
    <t>Czechia</t>
  </si>
  <si>
    <t>Group A</t>
  </si>
  <si>
    <t>Group B</t>
  </si>
  <si>
    <t>Group C</t>
  </si>
  <si>
    <t>A3</t>
  </si>
  <si>
    <t>A4</t>
  </si>
  <si>
    <t>A5</t>
  </si>
  <si>
    <t>B</t>
  </si>
  <si>
    <t>Canada</t>
  </si>
  <si>
    <t>A6</t>
  </si>
  <si>
    <t>Bosnia and Herzegovina</t>
  </si>
  <si>
    <t>B1</t>
  </si>
  <si>
    <t>Qatar</t>
  </si>
  <si>
    <t>B2</t>
  </si>
  <si>
    <t>Switzerland</t>
  </si>
  <si>
    <t>B3</t>
  </si>
  <si>
    <t>C</t>
  </si>
  <si>
    <t>Brazil</t>
  </si>
  <si>
    <t>B4</t>
  </si>
  <si>
    <t>Group D</t>
  </si>
  <si>
    <t>Group E</t>
  </si>
  <si>
    <t>Group F</t>
  </si>
  <si>
    <t>Morocco</t>
  </si>
  <si>
    <t>B5</t>
  </si>
  <si>
    <t>Haiti</t>
  </si>
  <si>
    <t>B6</t>
  </si>
  <si>
    <t>Scotland</t>
  </si>
  <si>
    <t>C1</t>
  </si>
  <si>
    <t>USA</t>
  </si>
  <si>
    <t>C2</t>
  </si>
  <si>
    <t>Paraguay</t>
  </si>
  <si>
    <t>C3</t>
  </si>
  <si>
    <t>Australia</t>
  </si>
  <si>
    <t>C4</t>
  </si>
  <si>
    <t>Türkiye</t>
  </si>
  <si>
    <t>C5</t>
  </si>
  <si>
    <t>E</t>
  </si>
  <si>
    <t>Germany</t>
  </si>
  <si>
    <t>C6</t>
  </si>
  <si>
    <t>Group G</t>
  </si>
  <si>
    <t>Group H</t>
  </si>
  <si>
    <t>Group I</t>
  </si>
  <si>
    <t>Curaçao</t>
  </si>
  <si>
    <t>D1</t>
  </si>
  <si>
    <t>Côte d'Ivoire</t>
  </si>
  <si>
    <t>D2</t>
  </si>
  <si>
    <t>Ecuador</t>
  </si>
  <si>
    <t>D3</t>
  </si>
  <si>
    <t>F</t>
  </si>
  <si>
    <t>Netherlands</t>
  </si>
  <si>
    <t>D4</t>
  </si>
  <si>
    <t>Japan</t>
  </si>
  <si>
    <t>D5</t>
  </si>
  <si>
    <t>Sweden</t>
  </si>
  <si>
    <t>D6</t>
  </si>
  <si>
    <t>Tunisia</t>
  </si>
  <si>
    <t>E1</t>
  </si>
  <si>
    <t>G</t>
  </si>
  <si>
    <t>Belgium</t>
  </si>
  <si>
    <t>E2</t>
  </si>
  <si>
    <t>Group J</t>
  </si>
  <si>
    <t>Group K</t>
  </si>
  <si>
    <t>Group L</t>
  </si>
  <si>
    <t>Egypt</t>
  </si>
  <si>
    <t>E3</t>
  </si>
  <si>
    <t>IR Iran</t>
  </si>
  <si>
    <t>E4</t>
  </si>
  <si>
    <t>New Zealand</t>
  </si>
  <si>
    <t>E5</t>
  </si>
  <si>
    <t>H</t>
  </si>
  <si>
    <t>Spain</t>
  </si>
  <si>
    <t>E6</t>
  </si>
  <si>
    <t>Cabo Verde</t>
  </si>
  <si>
    <t>F1</t>
  </si>
  <si>
    <t>Saudi Arabia</t>
  </si>
  <si>
    <t>F2</t>
  </si>
  <si>
    <t>Uruguay</t>
  </si>
  <si>
    <t>F3</t>
  </si>
  <si>
    <t>I</t>
  </si>
  <si>
    <t>France</t>
  </si>
  <si>
    <t>F4</t>
  </si>
  <si>
    <t>Senegal</t>
  </si>
  <si>
    <t>F5</t>
  </si>
  <si>
    <t>Iraq</t>
  </si>
  <si>
    <t>F6</t>
  </si>
  <si>
    <t>Norway</t>
  </si>
  <si>
    <t>G1</t>
  </si>
  <si>
    <t>J</t>
  </si>
  <si>
    <t>Argentina</t>
  </si>
  <si>
    <t>G2</t>
  </si>
  <si>
    <t>Algeria</t>
  </si>
  <si>
    <t>G3</t>
  </si>
  <si>
    <t>Austria</t>
  </si>
  <si>
    <t>G4</t>
  </si>
  <si>
    <t>Jordan</t>
  </si>
  <si>
    <t>G5</t>
  </si>
  <si>
    <t>K</t>
  </si>
  <si>
    <t>Portugal</t>
  </si>
  <si>
    <t>G6</t>
  </si>
  <si>
    <t>Congo DR</t>
  </si>
  <si>
    <t>H1</t>
  </si>
  <si>
    <t>Uzbekistan</t>
  </si>
  <si>
    <t>H2</t>
  </si>
  <si>
    <t>Colombia</t>
  </si>
  <si>
    <t>H3</t>
  </si>
  <si>
    <t>England</t>
  </si>
  <si>
    <t>H4</t>
  </si>
  <si>
    <t>Croatia</t>
  </si>
  <si>
    <t>H5</t>
  </si>
  <si>
    <t>Ghana</t>
  </si>
  <si>
    <t>H6</t>
  </si>
  <si>
    <t>Panama</t>
  </si>
  <si>
    <t>I1</t>
  </si>
  <si>
    <t>I2</t>
  </si>
  <si>
    <t>I3</t>
  </si>
  <si>
    <t>I4</t>
  </si>
  <si>
    <t>I5</t>
  </si>
  <si>
    <t>I6</t>
  </si>
  <si>
    <t>J1</t>
  </si>
  <si>
    <t>J2</t>
  </si>
  <si>
    <t>J3</t>
  </si>
  <si>
    <t>J4</t>
  </si>
  <si>
    <t>J5</t>
  </si>
  <si>
    <t>J6</t>
  </si>
  <si>
    <t>K1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</si>
  <si>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</si>
  <si>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</si>
  <si>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</si>
  <si>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</si>
  <si>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</si>
  <si>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</si>
  <si>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</si>
  <si>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</si>
  <si>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</si>
  <si>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L5</t>
  </si>
  <si>
    <t>L6</t>
  </si>
  <si>
    <t>⭐ Best Third-Placed Teams (Top 8 qualify)</t>
  </si>
  <si>
    <t>Round</t>
  </si>
  <si>
    <t>Team 1</t>
  </si>
  <si>
    <t>Score 1</t>
  </si>
  <si>
    <t>Score 2</t>
  </si>
  <si>
    <t>Team 2</t>
  </si>
  <si>
    <t>Winner Override</t>
  </si>
  <si>
    <t>Winner</t>
  </si>
  <si>
    <t>3rd Group</t>
  </si>
  <si>
    <t>Round of 32</t>
  </si>
  <si>
    <t>Round of 16</t>
  </si>
  <si>
    <t>Quarter-final</t>
  </si>
  <si>
    <t>Semi-final</t>
  </si>
  <si>
    <t>Third Place</t>
  </si>
  <si>
    <t>Mind</t>
  </si>
  <si>
    <t>Katia Newman</t>
  </si>
  <si>
    <t>Div Saxena</t>
  </si>
  <si>
    <t>Richard Ehlen</t>
  </si>
  <si>
    <t>Jane Stinson</t>
  </si>
  <si>
    <t>Turkey</t>
  </si>
  <si>
    <t>Columbia</t>
  </si>
  <si>
    <t>Cape Verde</t>
  </si>
  <si>
    <t>Curacao</t>
  </si>
  <si>
    <t>Ivory Coast</t>
  </si>
  <si>
    <t>Iran</t>
  </si>
  <si>
    <t>1st</t>
  </si>
  <si>
    <t>2nd</t>
  </si>
  <si>
    <t>Prize pot</t>
  </si>
  <si>
    <t>Date</t>
  </si>
  <si>
    <t>Time</t>
  </si>
  <si>
    <t>11th June</t>
  </si>
  <si>
    <t>12th June</t>
  </si>
  <si>
    <t>19th June</t>
  </si>
  <si>
    <t>18th June</t>
  </si>
  <si>
    <t>25th June</t>
  </si>
  <si>
    <t>KO</t>
  </si>
  <si>
    <t>13th June</t>
  </si>
  <si>
    <t>24th June</t>
  </si>
  <si>
    <t>14th June</t>
  </si>
  <si>
    <t>20th June</t>
  </si>
  <si>
    <t>26th June</t>
  </si>
  <si>
    <t>15th June</t>
  </si>
  <si>
    <t>21st June</t>
  </si>
  <si>
    <t>16th June</t>
  </si>
  <si>
    <t>22nd June</t>
  </si>
  <si>
    <t>27th June</t>
  </si>
  <si>
    <t>23rd June</t>
  </si>
  <si>
    <t>17th June</t>
  </si>
  <si>
    <t>28th June</t>
  </si>
  <si>
    <t>29th June</t>
  </si>
  <si>
    <t>30th June</t>
  </si>
  <si>
    <t>1st July</t>
  </si>
  <si>
    <t>2nd July</t>
  </si>
  <si>
    <t>3rd July</t>
  </si>
  <si>
    <t>4th July</t>
  </si>
  <si>
    <t>5th July</t>
  </si>
  <si>
    <t>6th July</t>
  </si>
  <si>
    <t>7th July</t>
  </si>
  <si>
    <t>9th July</t>
  </si>
  <si>
    <t>10th July</t>
  </si>
  <si>
    <t>11th July</t>
  </si>
  <si>
    <t>12th July</t>
  </si>
  <si>
    <t>14th July</t>
  </si>
  <si>
    <t>15th July</t>
  </si>
  <si>
    <t>18th July</t>
  </si>
  <si>
    <t>Note</t>
  </si>
  <si>
    <t>Third-place knockout slots currently auto-populate for the present qualifying-group combination (A,B,C,D,F,G,K,L).</t>
  </si>
  <si>
    <t>USA (Lucy)</t>
  </si>
  <si>
    <t>Paraguay (Lucy)</t>
  </si>
  <si>
    <t>Saudi Arabia (Tish)</t>
  </si>
  <si>
    <t>Austria (Tish)</t>
  </si>
  <si>
    <t>Germany (Ben)</t>
  </si>
  <si>
    <t>New Zealand (Ben)</t>
  </si>
  <si>
    <t>Norway (Ben)</t>
  </si>
  <si>
    <t>Australia (Caoimhe)</t>
  </si>
  <si>
    <t>Türkiye (Caoimhe)</t>
  </si>
  <si>
    <t>Uruguay (Caoimhe)</t>
  </si>
  <si>
    <t>Czechia (Div)</t>
  </si>
  <si>
    <t>Cabo Verde (Div)</t>
  </si>
  <si>
    <t>Brazil (Fabio)</t>
  </si>
  <si>
    <t>Netherlands (Jane)</t>
  </si>
  <si>
    <t>Argentina (Jane)</t>
  </si>
  <si>
    <t>Uzbekistan (Katia)</t>
  </si>
  <si>
    <t>England (Katia)</t>
  </si>
  <si>
    <t>Korea Republic (Marija)</t>
  </si>
  <si>
    <t>Egypt (Marija)</t>
  </si>
  <si>
    <t>Colombia (Mark)</t>
  </si>
  <si>
    <t>Morocco (Mark)</t>
  </si>
  <si>
    <t>South Africa (Matt M)</t>
  </si>
  <si>
    <t>Côte d'Ivoire (Matt M)</t>
  </si>
  <si>
    <t>Ecuador (Matt M)</t>
  </si>
  <si>
    <t>Belgium (Matt P)</t>
  </si>
  <si>
    <t>Spain (Matt P)</t>
  </si>
  <si>
    <t>Portugal (Matt P)</t>
  </si>
  <si>
    <t>Qatar (Mike)</t>
  </si>
  <si>
    <t>Panama (Mike)</t>
  </si>
  <si>
    <t>Haiti (Nelly)</t>
  </si>
  <si>
    <t>Senegal (Nelly)</t>
  </si>
  <si>
    <t>Canada (Nick)</t>
  </si>
  <si>
    <t>Switzerland (Nick)</t>
  </si>
  <si>
    <t>IR Iran (Nick)</t>
  </si>
  <si>
    <t>Curaçao (Rich)</t>
  </si>
  <si>
    <t>Tunisia (Rich)</t>
  </si>
  <si>
    <t>Iraq (Scott)</t>
  </si>
  <si>
    <t>Algeria (Scott)</t>
  </si>
  <si>
    <t>Mexico (Sean)</t>
  </si>
  <si>
    <t>Bosnia and Herzegovina (Sean)</t>
  </si>
  <si>
    <t>Croatia (Sean)</t>
  </si>
  <si>
    <t>Japan (Tina)</t>
  </si>
  <si>
    <t>Jordan (Tina)</t>
  </si>
  <si>
    <t>Ghana (Tina)</t>
  </si>
  <si>
    <t>Scotland (Tom)</t>
  </si>
  <si>
    <t>Sweden (Tom)</t>
  </si>
  <si>
    <t>France (Tom)</t>
  </si>
  <si>
    <t>Congo DR (Tom)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</si>
</sst>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£&quot;* #,##0.00_-;\-&quot;£&quot;* #,##0.00_-;_-&quot;£&quot;* &quot;-&quot;??_-;_-@_-"/>
    <numFmt numFmtId="165" formatCode="[$£-809]#,##0.00"/>
  </numFmts>
  <fonts count="1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b/>
      <sz val="18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F4C81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6E43"/>
        <bgColor indexed="64"/>
      </patternFill>
    </fill>
    <fill>
      <patternFill patternType="solid">
        <fgColor rgb="FF8C510A"/>
        <bgColor indexed="64"/>
      </patternFill>
    </fill>
    <fill>
      <patternFill patternType="solid">
        <fgColor rgb="FFF4E3C3"/>
        <bgColor indexed="64"/>
      </patternFill>
    </fill>
    <fill>
      <patternFill patternType="solid">
        <fgColor rgb="FF7A1E48"/>
        <bgColor indexed="64"/>
      </patternFill>
    </fill>
    <fill>
      <patternFill patternType="solid">
        <fgColor rgb="FFF3D9E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43">
    <xf numFmtId="0" fontId="0" fillId="0" borderId="0" xfId="0"/>
    <xf numFmtId="0" fontId="1" fillId="2" borderId="0" xfId="0" applyFont="1" applyFill="1"/>
    <xf numFmtId="165" fontId="1" fillId="2" borderId="0" xfId="0" applyNumberFormat="1" applyFont="1" applyFill="1"/>
    <xf numFmtId="165" fontId="0" fillId="0" borderId="0" xfId="0" applyNumberFormat="1"/>
    <xf numFmtId="0" fontId="2" fillId="0" borderId="0" xfId="0" applyFont="1"/>
    <xf numFmtId="165" fontId="2" fillId="0" borderId="0" xfId="0" applyNumberFormat="1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3" borderId="0" xfId="0" applyFont="1" applyFill="1"/>
    <xf numFmtId="0" fontId="8" fillId="3" borderId="0" xfId="0" applyFont="1" applyFill="1"/>
    <xf numFmtId="0" fontId="7" fillId="3" borderId="1" xfId="0" applyFont="1" applyFill="1" applyBorder="1"/>
    <xf numFmtId="0" fontId="0" fillId="0" borderId="1" xfId="0" applyBorder="1"/>
    <xf numFmtId="0" fontId="7" fillId="6" borderId="1" xfId="0" applyFont="1" applyFill="1" applyBorder="1"/>
    <xf numFmtId="0" fontId="8" fillId="6" borderId="1" xfId="0" applyFont="1" applyFill="1" applyBorder="1"/>
    <xf numFmtId="0" fontId="2" fillId="7" borderId="1" xfId="0" applyFont="1" applyFill="1" applyBorder="1"/>
    <xf numFmtId="0" fontId="8" fillId="8" borderId="1" xfId="0" applyFont="1" applyFill="1" applyBorder="1"/>
    <xf numFmtId="0" fontId="2" fillId="9" borderId="1" xfId="0" applyFont="1" applyFill="1" applyBorder="1"/>
    <xf numFmtId="1" fontId="0" fillId="0" borderId="1" xfId="0" applyNumberFormat="1" applyBorder="1"/>
    <xf numFmtId="0" fontId="7" fillId="5" borderId="0" xfId="0" applyFont="1" applyFill="1"/>
    <xf numFmtId="0" fontId="8" fillId="5" borderId="0" xfId="0" applyFont="1" applyFill="1"/>
    <xf numFmtId="0" fontId="2" fillId="4" borderId="1" xfId="0" applyFont="1" applyFill="1" applyBorder="1"/>
    <xf numFmtId="0" fontId="0" fillId="0" borderId="1" xfId="0" applyBorder="1" applyAlignment="1">
      <alignment wrapText="1"/>
    </xf>
    <xf numFmtId="164" fontId="0" fillId="0" borderId="0" xfId="1" applyFont="1"/>
    <xf numFmtId="0" fontId="8" fillId="10" borderId="0" xfId="0" applyFont="1" applyFill="1"/>
    <xf numFmtId="0" fontId="2" fillId="10" borderId="0" xfId="0" applyFont="1" applyFill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wrapText="1"/>
    </xf>
    <xf numFmtId="1" fontId="0" fillId="0" borderId="8" xfId="0" applyNumberFormat="1" applyBorder="1"/>
    <xf numFmtId="0" fontId="0" fillId="0" borderId="9" xfId="0" applyBorder="1"/>
    <xf numFmtId="0" fontId="0" fillId="0" borderId="3" xfId="0" applyBorder="1"/>
    <xf numFmtId="20" fontId="0" fillId="0" borderId="3" xfId="0" applyNumberFormat="1" applyBorder="1"/>
    <xf numFmtId="20" fontId="0" fillId="0" borderId="1" xfId="0" applyNumberFormat="1" applyBorder="1"/>
    <xf numFmtId="0" fontId="10" fillId="8" borderId="1" xfId="0" applyFont="1" applyFill="1" applyBorder="1"/>
    <xf numFmtId="0" fontId="2" fillId="9" borderId="10" xfId="0" applyFont="1" applyFill="1" applyBorder="1"/>
    <xf numFmtId="0" fontId="12" fillId="0" borderId="0" xfId="0" applyFont="1"/>
    <xf numFmtId="0" fontId="0" fillId="4" borderId="0" xfId="0" applyFill="1" applyAlignment="1">
      <alignment horizontal="center" wrapText="1"/>
    </xf>
  </cellXfs>
  <cellStyles count="2">
    <cellStyle name="Currency" xfId="1" builtinId="4"/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wrapText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FAEB0B-2227-45A6-9E3B-85E96A9809D0}" name="GroupFixtures" displayName="GroupFixtures" ref="A4:L76" totalsRowShown="0" headerRowDxfId="24" headerRowBorderDxfId="23" tableBorderDxfId="22" totalsRowBorderDxfId="21">
  <autoFilter ref="A4:L76" xr:uid="{42FAEB0B-2227-45A6-9E3B-85E96A9809D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516F734B-A7C5-4696-95F8-77902314ACEB}" name="Group" dataDxfId="20"/>
    <tableColumn id="2" xr3:uid="{D5BDF798-C305-4B2F-A476-8AEECFD2DB20}" name="Match" dataDxfId="19"/>
    <tableColumn id="3" xr3:uid="{0A5EAF98-4B1C-4FF3-92A7-F77883AA5AF6}" name="Home" dataDxfId="18"/>
    <tableColumn id="4" xr3:uid="{5D6CB256-A5B2-44C8-8B67-58C2A3E4D22F}" name="Away" dataDxfId="17"/>
    <tableColumn id="5" xr3:uid="{7745E57E-C460-4B41-8B63-DFB6C5770F57}" name="Home Score" dataDxfId="16"/>
    <tableColumn id="6" xr3:uid="{75776493-922A-49DA-A64B-AB8C9A2CF446}" name="Away Score" dataDxfId="15"/>
    <tableColumn id="7" xr3:uid="{41D3BB0D-41EE-4395-86C0-C4C5B97FDD26}" name="Played" dataDxfId="14">
      <calculatedColumnFormula>IF(AND(GroupFixtures[[#This Row],[Home Score]]&lt;&gt;"",GroupFixtures[[#This Row],[Away Score]]&lt;&gt;""),1,"")</calculatedColumnFormula>
    </tableColumn>
    <tableColumn id="8" xr3:uid="{F71A08EC-EC01-4D55-8EA0-95C2802DAD1B}" name="Home Pts" dataDxfId="13">
      <calculatedColumnFormula>IF(GroupFixtures[[#This Row],[Played]]="","",IF(GroupFixtures[[#This Row],[Home Score]]&gt;GroupFixtures[[#This Row],[Away Score]],3,IF(GroupFixtures[[#This Row],[Home Score]]=GroupFixtures[[#This Row],[Away Score]],1,0)))</calculatedColumnFormula>
    </tableColumn>
    <tableColumn id="9" xr3:uid="{21E79BCE-31C6-4F13-BE26-BA18F0F90368}" name="Away Pts" dataDxfId="12">
      <calculatedColumnFormula>IF(GroupFixtures[[#This Row],[Played]]="","",IF(GroupFixtures[[#This Row],[Away Score]]&gt;GroupFixtures[[#This Row],[Home Score]],3,IF(GroupFixtures[[#This Row],[Away Score]]=GroupFixtures[[#This Row],[Home Score]],1,0)))</calculatedColumnFormula>
    </tableColumn>
    <tableColumn id="10" xr3:uid="{918264A0-B98D-4167-AE25-DA08CAFB2C6D}" name="Result" dataDxfId="11">
      <calculatedColumnFormula>IF(GroupFixtures[[#This Row],[Played]]="","",IF(GroupFixtures[[#This Row],[Home Score]]&gt;GroupFixtures[[#This Row],[Away Score]],"H",IF(GroupFixtures[[#This Row],[Home Score]]=GroupFixtures[[#This Row],[Away Score]],"D","A")))</calculatedColumnFormula>
    </tableColumn>
    <tableColumn id="11" xr3:uid="{429238F4-9B34-4E39-9982-17459448BCC5}" name="Date" dataDxfId="10"/>
    <tableColumn id="12" xr3:uid="{4985C9DA-09F5-41CE-9861-04A209E10A67}" name="KO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C72AC3-1F2B-4F95-B3D3-4FE280AEA91B}" name="GroupStandings" displayName="GroupStandings" ref="BB4:BL52" totalsRowShown="0">
  <autoFilter ref="BB4:BL52" xr:uid="{FAC72AC3-1F2B-4F95-B3D3-4FE280AEA91B}"/>
  <tableColumns count="11">
    <tableColumn id="1" xr3:uid="{987E2DAF-19CC-4C0C-889C-15ABFB6B1950}" name="Group"/>
    <tableColumn id="2" xr3:uid="{BFEDB796-178F-4E28-855B-956A92AD6B5C}" name="Team"/>
    <tableColumn id="3" xr3:uid="{3267C778-BF13-4A9B-ADBB-103D56083545}" name="P" dataDxfId="8">
      <calculatedColumnFormula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calculatedColumnFormula>
    </tableColumn>
    <tableColumn id="4" xr3:uid="{6A642B14-E574-454C-9057-EE6500180BE9}" name="W" dataDxfId="7">
      <calculatedColumnFormula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calculatedColumnFormula>
    </tableColumn>
    <tableColumn id="5" xr3:uid="{ADF5F32F-9E10-47B3-8FD3-F7029A762422}" name="D" dataDxfId="6">
      <calculatedColumnFormula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calculatedColumnFormula>
    </tableColumn>
    <tableColumn id="6" xr3:uid="{F0B32EDF-F473-4CC3-B3D9-DCF87BECCACC}" name="L" dataDxfId="5">
      <calculatedColumnFormula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calculatedColumnFormula>
    </tableColumn>
    <tableColumn id="7" xr3:uid="{F052F39E-4A9B-4D08-BF07-560BE5E60907}" name="GF" dataDxfId="4">
      <calculatedColumnFormula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calculatedColumnFormula>
    </tableColumn>
    <tableColumn id="8" xr3:uid="{8E843DD4-FDCA-4306-9EED-276294B51723}" name="GA" dataDxfId="3">
      <calculatedColumnFormula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calculatedColumnFormula>
    </tableColumn>
    <tableColumn id="9" xr3:uid="{03AB2D95-EE47-4713-88BC-6C19F5EBAB62}" name="GD" dataDxfId="2">
      <calculatedColumnFormula>GroupStandings[[#This Row],[GF]]-GroupStandings[[#This Row],[GA]]</calculatedColumnFormula>
    </tableColumn>
    <tableColumn id="10" xr3:uid="{19DCB0C4-F9EE-4B5D-97DC-C4C2F993668B}" name="Pts" dataDxfId="1">
      <calculatedColumnFormula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calculatedColumnFormula>
    </tableColumn>
    <tableColumn id="11" xr3:uid="{3E124A32-8B17-47F2-8F7B-F5745D05C8BF}" name="Rank" dataDxfId="0">
      <calculatedColumnFormula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3DFAA-6015-41DD-A2B2-79E48BC0C392}">
  <dimension ref="A1:E55"/>
  <sheetViews>
    <sheetView topLeftCell="A19" workbookViewId="0">
      <selection activeCell="A2" sqref="A2:B49"/>
    </sheetView>
  </sheetViews>
  <sheetFormatPr baseColWidth="10" defaultColWidth="8.83203125" defaultRowHeight="15" x14ac:dyDescent="0.2"/>
  <cols>
    <col min="1" max="1" width="22.33203125" style="7" customWidth="1"/>
    <col min="2" max="2" width="27.33203125" customWidth="1"/>
    <col min="3" max="3" width="9.1640625" style="3"/>
    <col min="4" max="4" width="15" bestFit="1" customWidth="1"/>
  </cols>
  <sheetData>
    <row r="1" spans="1:4" x14ac:dyDescent="0.2">
      <c r="A1" s="6" t="s">
        <v>0</v>
      </c>
      <c r="B1" s="1" t="s">
        <v>1</v>
      </c>
      <c r="C1" s="2" t="s">
        <v>2</v>
      </c>
    </row>
    <row r="2" spans="1:4" x14ac:dyDescent="0.2">
      <c r="A2" s="7" t="s">
        <v>18</v>
      </c>
      <c r="B2" t="s">
        <v>122</v>
      </c>
      <c r="C2" s="3">
        <v>5</v>
      </c>
    </row>
    <row r="3" spans="1:4" x14ac:dyDescent="0.2">
      <c r="A3" s="7" t="s">
        <v>18</v>
      </c>
      <c r="B3" t="s">
        <v>140</v>
      </c>
    </row>
    <row r="4" spans="1:4" x14ac:dyDescent="0.2">
      <c r="A4" s="7" t="s">
        <v>5</v>
      </c>
      <c r="B4" t="s">
        <v>133</v>
      </c>
      <c r="C4" s="3">
        <v>5</v>
      </c>
      <c r="D4" s="7"/>
    </row>
    <row r="5" spans="1:4" x14ac:dyDescent="0.2">
      <c r="A5" s="7" t="s">
        <v>5</v>
      </c>
      <c r="B5" t="s">
        <v>115</v>
      </c>
      <c r="C5" s="3">
        <v>5</v>
      </c>
      <c r="D5" s="7"/>
    </row>
    <row r="6" spans="1:4" x14ac:dyDescent="0.2">
      <c r="A6" s="7" t="s">
        <v>5</v>
      </c>
      <c r="B6" t="s">
        <v>85</v>
      </c>
      <c r="D6" s="7"/>
    </row>
    <row r="7" spans="1:4" x14ac:dyDescent="0.2">
      <c r="A7" s="7" t="s">
        <v>10</v>
      </c>
      <c r="B7" t="s">
        <v>80</v>
      </c>
      <c r="C7" s="3">
        <v>5</v>
      </c>
      <c r="D7" s="7"/>
    </row>
    <row r="8" spans="1:4" x14ac:dyDescent="0.2">
      <c r="A8" s="8" t="s">
        <v>10</v>
      </c>
      <c r="B8" t="s">
        <v>124</v>
      </c>
      <c r="C8" s="3">
        <v>5</v>
      </c>
      <c r="D8" s="7"/>
    </row>
    <row r="9" spans="1:4" x14ac:dyDescent="0.2">
      <c r="A9" s="8" t="s">
        <v>10</v>
      </c>
      <c r="B9" t="s">
        <v>203</v>
      </c>
      <c r="C9" s="3">
        <v>5</v>
      </c>
      <c r="D9" s="7"/>
    </row>
    <row r="10" spans="1:4" x14ac:dyDescent="0.2">
      <c r="A10" s="7" t="s">
        <v>200</v>
      </c>
      <c r="B10" t="s">
        <v>205</v>
      </c>
      <c r="C10" s="3">
        <v>5</v>
      </c>
      <c r="D10" s="7"/>
    </row>
    <row r="11" spans="1:4" x14ac:dyDescent="0.2">
      <c r="A11" s="7" t="s">
        <v>200</v>
      </c>
      <c r="B11" t="s">
        <v>48</v>
      </c>
      <c r="D11" s="7"/>
    </row>
    <row r="12" spans="1:4" x14ac:dyDescent="0.2">
      <c r="A12" s="7" t="s">
        <v>12</v>
      </c>
      <c r="B12" t="s">
        <v>65</v>
      </c>
      <c r="C12" s="3">
        <v>5</v>
      </c>
      <c r="D12" s="7"/>
    </row>
    <row r="13" spans="1:4" x14ac:dyDescent="0.2">
      <c r="A13" s="7" t="s">
        <v>202</v>
      </c>
      <c r="B13" t="s">
        <v>97</v>
      </c>
      <c r="C13" s="3">
        <v>5</v>
      </c>
      <c r="D13" s="7"/>
    </row>
    <row r="14" spans="1:4" x14ac:dyDescent="0.2">
      <c r="A14" s="7" t="s">
        <v>202</v>
      </c>
      <c r="B14" t="s">
        <v>136</v>
      </c>
      <c r="D14" s="7"/>
    </row>
    <row r="15" spans="1:4" x14ac:dyDescent="0.2">
      <c r="A15" s="7" t="s">
        <v>199</v>
      </c>
      <c r="B15" t="s">
        <v>149</v>
      </c>
      <c r="C15" s="3">
        <v>5</v>
      </c>
      <c r="D15" s="7"/>
    </row>
    <row r="16" spans="1:4" x14ac:dyDescent="0.2">
      <c r="A16" s="7" t="s">
        <v>199</v>
      </c>
      <c r="B16" t="s">
        <v>153</v>
      </c>
      <c r="D16" s="7"/>
    </row>
    <row r="17" spans="1:4" x14ac:dyDescent="0.2">
      <c r="A17" s="7" t="s">
        <v>3</v>
      </c>
      <c r="B17" t="s">
        <v>76</v>
      </c>
      <c r="C17" s="3">
        <v>5</v>
      </c>
      <c r="D17" s="7"/>
    </row>
    <row r="18" spans="1:4" x14ac:dyDescent="0.2">
      <c r="A18" s="7" t="s">
        <v>3</v>
      </c>
      <c r="B18" t="s">
        <v>78</v>
      </c>
      <c r="D18" s="7"/>
    </row>
    <row r="19" spans="1:4" x14ac:dyDescent="0.2">
      <c r="A19" s="7" t="s">
        <v>15</v>
      </c>
      <c r="B19" t="s">
        <v>47</v>
      </c>
      <c r="C19" s="3">
        <v>5</v>
      </c>
      <c r="D19" s="7"/>
    </row>
    <row r="20" spans="1:4" x14ac:dyDescent="0.2">
      <c r="A20" s="7" t="s">
        <v>15</v>
      </c>
      <c r="B20" t="s">
        <v>111</v>
      </c>
      <c r="D20" s="7"/>
    </row>
    <row r="21" spans="1:4" x14ac:dyDescent="0.2">
      <c r="A21" s="7" t="s">
        <v>17</v>
      </c>
      <c r="B21" t="s">
        <v>204</v>
      </c>
      <c r="C21" s="3">
        <v>5</v>
      </c>
      <c r="D21" s="7"/>
    </row>
    <row r="22" spans="1:4" x14ac:dyDescent="0.2">
      <c r="A22" s="7" t="s">
        <v>17</v>
      </c>
      <c r="B22" t="s">
        <v>70</v>
      </c>
      <c r="D22" s="7"/>
    </row>
    <row r="23" spans="1:4" x14ac:dyDescent="0.2">
      <c r="A23" s="7" t="s">
        <v>11</v>
      </c>
      <c r="B23" t="s">
        <v>94</v>
      </c>
      <c r="C23" s="3">
        <v>5</v>
      </c>
      <c r="D23" s="7"/>
    </row>
    <row r="24" spans="1:4" x14ac:dyDescent="0.2">
      <c r="A24" s="7" t="s">
        <v>11</v>
      </c>
      <c r="B24" t="s">
        <v>45</v>
      </c>
      <c r="C24" s="3">
        <v>5</v>
      </c>
      <c r="D24" s="7"/>
    </row>
    <row r="25" spans="1:4" x14ac:dyDescent="0.2">
      <c r="A25" s="7" t="s">
        <v>11</v>
      </c>
      <c r="B25" t="s">
        <v>207</v>
      </c>
      <c r="D25" s="7"/>
    </row>
    <row r="26" spans="1:4" x14ac:dyDescent="0.2">
      <c r="A26" s="7" t="s">
        <v>8</v>
      </c>
      <c r="B26" t="s">
        <v>145</v>
      </c>
      <c r="C26" s="3">
        <v>5</v>
      </c>
      <c r="D26" s="7"/>
    </row>
    <row r="27" spans="1:4" x14ac:dyDescent="0.2">
      <c r="A27" s="7" t="s">
        <v>8</v>
      </c>
      <c r="B27" t="s">
        <v>118</v>
      </c>
      <c r="C27" s="3">
        <v>5</v>
      </c>
      <c r="D27" s="8"/>
    </row>
    <row r="28" spans="1:4" x14ac:dyDescent="0.2">
      <c r="A28" s="7" t="s">
        <v>8</v>
      </c>
      <c r="B28" t="s">
        <v>106</v>
      </c>
      <c r="D28" s="7"/>
    </row>
    <row r="29" spans="1:4" x14ac:dyDescent="0.2">
      <c r="A29" s="7" t="s">
        <v>7</v>
      </c>
      <c r="B29" t="s">
        <v>159</v>
      </c>
      <c r="C29" s="3">
        <v>5</v>
      </c>
      <c r="D29" s="8"/>
    </row>
    <row r="30" spans="1:4" x14ac:dyDescent="0.2">
      <c r="A30" s="7" t="s">
        <v>7</v>
      </c>
      <c r="B30" t="s">
        <v>60</v>
      </c>
      <c r="C30" s="3">
        <v>5</v>
      </c>
      <c r="D30" s="7"/>
    </row>
    <row r="31" spans="1:4" x14ac:dyDescent="0.2">
      <c r="A31" s="7" t="s">
        <v>16</v>
      </c>
      <c r="B31" t="s">
        <v>72</v>
      </c>
      <c r="C31" s="3">
        <v>5</v>
      </c>
      <c r="D31" s="7"/>
    </row>
    <row r="32" spans="1:4" x14ac:dyDescent="0.2">
      <c r="A32" s="7" t="s">
        <v>16</v>
      </c>
      <c r="B32" t="s">
        <v>129</v>
      </c>
      <c r="D32" s="7"/>
    </row>
    <row r="33" spans="1:4" x14ac:dyDescent="0.2">
      <c r="A33" s="7" t="s">
        <v>6</v>
      </c>
      <c r="B33" t="s">
        <v>56</v>
      </c>
      <c r="C33" s="3">
        <v>5</v>
      </c>
      <c r="D33" s="7"/>
    </row>
    <row r="34" spans="1:4" x14ac:dyDescent="0.2">
      <c r="A34" s="7" t="s">
        <v>6</v>
      </c>
      <c r="B34" t="s">
        <v>62</v>
      </c>
      <c r="C34" s="3">
        <v>5</v>
      </c>
      <c r="D34" s="7"/>
    </row>
    <row r="35" spans="1:4" x14ac:dyDescent="0.2">
      <c r="A35" s="7" t="s">
        <v>6</v>
      </c>
      <c r="B35" t="s">
        <v>208</v>
      </c>
      <c r="D35" s="7"/>
    </row>
    <row r="36" spans="1:4" x14ac:dyDescent="0.2">
      <c r="A36" s="7" t="s">
        <v>201</v>
      </c>
      <c r="B36" t="s">
        <v>206</v>
      </c>
      <c r="C36" s="3">
        <v>5</v>
      </c>
      <c r="D36" s="7"/>
    </row>
    <row r="37" spans="1:4" x14ac:dyDescent="0.2">
      <c r="A37" s="7" t="s">
        <v>201</v>
      </c>
      <c r="B37" t="s">
        <v>103</v>
      </c>
      <c r="D37" s="7"/>
    </row>
    <row r="38" spans="1:4" x14ac:dyDescent="0.2">
      <c r="A38" s="7" t="s">
        <v>9</v>
      </c>
      <c r="B38" t="s">
        <v>131</v>
      </c>
      <c r="C38" s="3">
        <v>5</v>
      </c>
      <c r="D38" s="7"/>
    </row>
    <row r="39" spans="1:4" x14ac:dyDescent="0.2">
      <c r="A39" s="7" t="s">
        <v>9</v>
      </c>
      <c r="B39" t="s">
        <v>138</v>
      </c>
      <c r="D39" s="7"/>
    </row>
    <row r="40" spans="1:4" x14ac:dyDescent="0.2">
      <c r="A40" s="7" t="s">
        <v>14</v>
      </c>
      <c r="B40" t="s">
        <v>155</v>
      </c>
      <c r="C40" s="3">
        <v>5</v>
      </c>
      <c r="D40" s="7"/>
    </row>
    <row r="41" spans="1:4" x14ac:dyDescent="0.2">
      <c r="A41" s="7" t="s">
        <v>14</v>
      </c>
      <c r="B41" t="s">
        <v>44</v>
      </c>
      <c r="C41" s="3">
        <v>5</v>
      </c>
      <c r="D41" s="7"/>
    </row>
    <row r="42" spans="1:4" x14ac:dyDescent="0.2">
      <c r="A42" s="7" t="s">
        <v>14</v>
      </c>
      <c r="B42" t="s">
        <v>58</v>
      </c>
      <c r="D42" s="7"/>
    </row>
    <row r="43" spans="1:4" x14ac:dyDescent="0.2">
      <c r="A43" s="7" t="s">
        <v>4</v>
      </c>
      <c r="B43" t="s">
        <v>157</v>
      </c>
      <c r="C43" s="3">
        <v>5</v>
      </c>
      <c r="D43" s="7"/>
    </row>
    <row r="44" spans="1:4" x14ac:dyDescent="0.2">
      <c r="A44" s="7" t="s">
        <v>4</v>
      </c>
      <c r="B44" t="s">
        <v>99</v>
      </c>
      <c r="C44" s="3">
        <v>5</v>
      </c>
      <c r="D44" s="7"/>
    </row>
    <row r="45" spans="1:4" x14ac:dyDescent="0.2">
      <c r="A45" s="7" t="s">
        <v>4</v>
      </c>
      <c r="B45" t="s">
        <v>142</v>
      </c>
      <c r="D45" s="7"/>
    </row>
    <row r="46" spans="1:4" x14ac:dyDescent="0.2">
      <c r="A46" s="7" t="s">
        <v>13</v>
      </c>
      <c r="B46" t="s">
        <v>101</v>
      </c>
      <c r="C46" s="3">
        <v>5</v>
      </c>
      <c r="D46" s="7"/>
    </row>
    <row r="47" spans="1:4" x14ac:dyDescent="0.2">
      <c r="A47" s="7" t="s">
        <v>13</v>
      </c>
      <c r="B47" t="s">
        <v>74</v>
      </c>
      <c r="C47" s="3">
        <v>5</v>
      </c>
      <c r="D47" s="7"/>
    </row>
    <row r="48" spans="1:4" x14ac:dyDescent="0.2">
      <c r="A48" s="7" t="s">
        <v>13</v>
      </c>
      <c r="B48" t="s">
        <v>127</v>
      </c>
      <c r="C48" s="3">
        <v>5</v>
      </c>
      <c r="D48" s="7"/>
    </row>
    <row r="49" spans="1:5" x14ac:dyDescent="0.2">
      <c r="A49" s="7" t="s">
        <v>13</v>
      </c>
      <c r="B49" t="s">
        <v>147</v>
      </c>
      <c r="D49" s="7"/>
    </row>
    <row r="52" spans="1:5" x14ac:dyDescent="0.2">
      <c r="B52" s="4" t="s">
        <v>19</v>
      </c>
      <c r="C52" s="5">
        <f>SUM(C2:C51)</f>
        <v>155</v>
      </c>
    </row>
    <row r="54" spans="1:5" x14ac:dyDescent="0.2">
      <c r="B54" t="s">
        <v>211</v>
      </c>
      <c r="C54" s="4" t="s">
        <v>209</v>
      </c>
      <c r="D54" s="4" t="s">
        <v>210</v>
      </c>
      <c r="E54" s="4" t="s">
        <v>198</v>
      </c>
    </row>
    <row r="55" spans="1:5" x14ac:dyDescent="0.2">
      <c r="C55" s="23">
        <v>50</v>
      </c>
      <c r="D55" s="23">
        <v>25</v>
      </c>
      <c r="E55" s="23">
        <v>80</v>
      </c>
    </row>
  </sheetData>
  <autoFilter ref="A1:C1" xr:uid="{6083DFAA-6015-41DD-A2B2-79E48BC0C392}">
    <sortState xmlns:xlrd2="http://schemas.microsoft.com/office/spreadsheetml/2017/richdata2" ref="A2:C49">
      <sortCondition ref="A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43DE-1FCA-45E9-A1B0-FF2EB4B9FF32}">
  <dimension ref="A1:BL123"/>
  <sheetViews>
    <sheetView showGridLines="0" tabSelected="1" workbookViewId="0">
      <selection activeCell="D24" sqref="D24"/>
    </sheetView>
  </sheetViews>
  <sheetFormatPr baseColWidth="10" defaultColWidth="8.83203125" defaultRowHeight="15" x14ac:dyDescent="0.2"/>
  <cols>
    <col min="1" max="1" width="9" customWidth="1"/>
    <col min="2" max="2" width="12.1640625" bestFit="1" customWidth="1"/>
    <col min="3" max="4" width="21.33203125" customWidth="1"/>
    <col min="5" max="5" width="11.6640625" customWidth="1"/>
    <col min="6" max="6" width="21" bestFit="1" customWidth="1"/>
    <col min="7" max="7" width="6.83203125" customWidth="1"/>
    <col min="8" max="8" width="13.33203125" bestFit="1" customWidth="1"/>
    <col min="9" max="9" width="10.1640625" bestFit="1" customWidth="1"/>
    <col min="10" max="10" width="8.5" bestFit="1" customWidth="1"/>
    <col min="11" max="11" width="9" customWidth="1"/>
    <col min="12" max="12" width="7" customWidth="1"/>
    <col min="13" max="13" width="6" customWidth="1"/>
    <col min="14" max="14" width="20.6640625" bestFit="1" customWidth="1"/>
    <col min="15" max="15" width="2.33203125" bestFit="1" customWidth="1"/>
    <col min="16" max="16" width="3" bestFit="1" customWidth="1"/>
    <col min="17" max="18" width="2.33203125" bestFit="1" customWidth="1"/>
    <col min="19" max="20" width="3.6640625" bestFit="1" customWidth="1"/>
    <col min="21" max="21" width="3.83203125" bestFit="1" customWidth="1"/>
    <col min="22" max="22" width="4" bestFit="1" customWidth="1"/>
    <col min="23" max="23" width="4.33203125" customWidth="1"/>
    <col min="24" max="24" width="26.83203125" bestFit="1" customWidth="1"/>
    <col min="25" max="25" width="2.33203125" bestFit="1" customWidth="1"/>
    <col min="26" max="26" width="3" bestFit="1" customWidth="1"/>
    <col min="27" max="28" width="2.33203125" bestFit="1" customWidth="1"/>
    <col min="29" max="30" width="3.6640625" bestFit="1" customWidth="1"/>
    <col min="31" max="31" width="3.83203125" bestFit="1" customWidth="1"/>
    <col min="32" max="32" width="4" bestFit="1" customWidth="1"/>
    <col min="33" max="33" width="4.83203125" customWidth="1"/>
    <col min="34" max="34" width="16.6640625" bestFit="1" customWidth="1"/>
    <col min="35" max="35" width="2.33203125" bestFit="1" customWidth="1"/>
    <col min="36" max="36" width="3" bestFit="1" customWidth="1"/>
    <col min="37" max="38" width="2.33203125" bestFit="1" customWidth="1"/>
    <col min="39" max="40" width="3.6640625" bestFit="1" customWidth="1"/>
    <col min="41" max="41" width="3.83203125" bestFit="1" customWidth="1"/>
    <col min="42" max="42" width="4" bestFit="1" customWidth="1"/>
    <col min="54" max="64" width="9" hidden="1" customWidth="1"/>
  </cols>
  <sheetData>
    <row r="1" spans="1:64" ht="24" x14ac:dyDescent="0.3">
      <c r="A1" s="9" t="s">
        <v>20</v>
      </c>
      <c r="B1" s="10"/>
      <c r="C1" s="10"/>
      <c r="D1" s="10"/>
      <c r="E1" s="10"/>
      <c r="F1" s="10"/>
    </row>
    <row r="2" spans="1:64" ht="51" customHeight="1" x14ac:dyDescent="0.2">
      <c r="A2" s="42" t="s">
        <v>21</v>
      </c>
      <c r="B2" s="42"/>
      <c r="C2" s="42"/>
      <c r="D2" s="42"/>
      <c r="E2" s="42"/>
      <c r="F2" s="42"/>
    </row>
    <row r="4" spans="1:64" ht="16" x14ac:dyDescent="0.2">
      <c r="A4" s="26" t="s">
        <v>22</v>
      </c>
      <c r="B4" s="27" t="s">
        <v>23</v>
      </c>
      <c r="C4" s="27" t="s">
        <v>24</v>
      </c>
      <c r="D4" s="27" t="s">
        <v>25</v>
      </c>
      <c r="E4" s="27" t="s">
        <v>26</v>
      </c>
      <c r="F4" s="27" t="s">
        <v>27</v>
      </c>
      <c r="G4" s="27" t="s">
        <v>28</v>
      </c>
      <c r="H4" s="27" t="s">
        <v>29</v>
      </c>
      <c r="I4" s="27" t="s">
        <v>30</v>
      </c>
      <c r="J4" s="28" t="s">
        <v>31</v>
      </c>
      <c r="K4" s="27" t="s">
        <v>212</v>
      </c>
      <c r="L4" s="27" t="s">
        <v>219</v>
      </c>
      <c r="N4" s="19" t="s">
        <v>32</v>
      </c>
      <c r="O4" s="20"/>
      <c r="P4" s="20"/>
      <c r="Q4" s="20"/>
      <c r="R4" s="20"/>
      <c r="S4" s="20"/>
      <c r="T4" s="20"/>
      <c r="U4" s="20"/>
      <c r="V4" s="20"/>
      <c r="BB4" t="s">
        <v>22</v>
      </c>
      <c r="BC4" t="s">
        <v>1</v>
      </c>
      <c r="BD4" t="s">
        <v>33</v>
      </c>
      <c r="BE4" t="s">
        <v>34</v>
      </c>
      <c r="BF4" t="s">
        <v>35</v>
      </c>
      <c r="BG4" t="s">
        <v>36</v>
      </c>
      <c r="BH4" t="s">
        <v>37</v>
      </c>
      <c r="BI4" t="s">
        <v>38</v>
      </c>
      <c r="BJ4" t="s">
        <v>39</v>
      </c>
      <c r="BK4" t="s">
        <v>40</v>
      </c>
      <c r="BL4" t="s">
        <v>41</v>
      </c>
    </row>
    <row r="5" spans="1:64" ht="16" x14ac:dyDescent="0.2">
      <c r="A5" s="29" t="s">
        <v>42</v>
      </c>
      <c r="B5" s="12" t="s">
        <v>43</v>
      </c>
      <c r="C5" s="22" t="s">
        <v>44</v>
      </c>
      <c r="D5" s="22" t="s">
        <v>45</v>
      </c>
      <c r="E5" s="18"/>
      <c r="F5" s="18"/>
      <c r="G5" s="12" t="str">
        <f>IF(AND(GroupFixtures[[#This Row],[Home Score]]&lt;&gt;"",GroupFixtures[[#This Row],[Away Score]]&lt;&gt;""),1,"")</f>
        <v/>
      </c>
      <c r="H5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5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5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5" s="36" t="s">
        <v>214</v>
      </c>
      <c r="L5" s="37">
        <v>0.83333333333333337</v>
      </c>
      <c r="BB5" t="s">
        <v>42</v>
      </c>
      <c r="BC5" t="s">
        <v>289</v>
      </c>
      <c r="BD5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5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5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5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5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5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5">
        <f>GroupStandings[[#This Row],[GF]]-GroupStandings[[#This Row],[GA]]</f>
        <v>0</v>
      </c>
      <c r="BK5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5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3</v>
      </c>
    </row>
    <row r="6" spans="1:64" ht="16" x14ac:dyDescent="0.2">
      <c r="A6" s="29" t="s">
        <v>42</v>
      </c>
      <c r="B6" s="12" t="s">
        <v>46</v>
      </c>
      <c r="C6" s="22" t="s">
        <v>47</v>
      </c>
      <c r="D6" s="22" t="s">
        <v>48</v>
      </c>
      <c r="E6" s="18"/>
      <c r="F6" s="18"/>
      <c r="G6" s="12" t="str">
        <f>IF(AND(GroupFixtures[[#This Row],[Home Score]]&lt;&gt;"",GroupFixtures[[#This Row],[Away Score]]&lt;&gt;""),1,"")</f>
        <v/>
      </c>
      <c r="H6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6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6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6" s="12" t="s">
        <v>215</v>
      </c>
      <c r="L6" s="38">
        <v>0.125</v>
      </c>
      <c r="N6" s="11" t="s">
        <v>49</v>
      </c>
      <c r="O6" s="11"/>
      <c r="P6" s="11"/>
      <c r="Q6" s="11"/>
      <c r="R6" s="11"/>
      <c r="S6" s="11"/>
      <c r="T6" s="11"/>
      <c r="U6" s="11"/>
      <c r="V6" s="11"/>
      <c r="X6" s="11" t="s">
        <v>50</v>
      </c>
      <c r="Y6" s="11"/>
      <c r="Z6" s="11"/>
      <c r="AA6" s="11"/>
      <c r="AB6" s="11"/>
      <c r="AC6" s="11"/>
      <c r="AD6" s="11"/>
      <c r="AE6" s="11"/>
      <c r="AF6" s="11"/>
      <c r="AH6" s="11" t="s">
        <v>51</v>
      </c>
      <c r="AI6" s="11"/>
      <c r="AJ6" s="11"/>
      <c r="AK6" s="11"/>
      <c r="AL6" s="11"/>
      <c r="AM6" s="11"/>
      <c r="AN6" s="11"/>
      <c r="AO6" s="11"/>
      <c r="AP6" s="11"/>
      <c r="BB6" t="s">
        <v>42</v>
      </c>
      <c r="BC6" t="s">
        <v>272</v>
      </c>
      <c r="BD6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6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6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6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6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6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6">
        <f>GroupStandings[[#This Row],[GF]]-GroupStandings[[#This Row],[GA]]</f>
        <v>0</v>
      </c>
      <c r="BK6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6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4</v>
      </c>
    </row>
    <row r="7" spans="1:64" ht="16" x14ac:dyDescent="0.2">
      <c r="A7" s="29" t="s">
        <v>42</v>
      </c>
      <c r="B7" s="12" t="s">
        <v>52</v>
      </c>
      <c r="C7" s="22" t="s">
        <v>44</v>
      </c>
      <c r="D7" s="22" t="s">
        <v>47</v>
      </c>
      <c r="E7" s="18"/>
      <c r="F7" s="18"/>
      <c r="G7" s="12" t="str">
        <f>IF(AND(GroupFixtures[[#This Row],[Home Score]]&lt;&gt;"",GroupFixtures[[#This Row],[Away Score]]&lt;&gt;""),1,"")</f>
        <v/>
      </c>
      <c r="H7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7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7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7" s="12" t="s">
        <v>216</v>
      </c>
      <c r="L7" s="38">
        <v>8.3333333333333329E-2</v>
      </c>
      <c r="N7" s="21" t="s">
        <v>1</v>
      </c>
      <c r="O7" s="21" t="s">
        <v>33</v>
      </c>
      <c r="P7" s="21" t="s">
        <v>34</v>
      </c>
      <c r="Q7" s="21" t="s">
        <v>35</v>
      </c>
      <c r="R7" s="21" t="s">
        <v>36</v>
      </c>
      <c r="S7" s="21" t="s">
        <v>37</v>
      </c>
      <c r="T7" s="21" t="s">
        <v>38</v>
      </c>
      <c r="U7" s="21" t="s">
        <v>39</v>
      </c>
      <c r="V7" s="21" t="s">
        <v>40</v>
      </c>
      <c r="X7" s="21" t="s">
        <v>1</v>
      </c>
      <c r="Y7" s="21" t="s">
        <v>33</v>
      </c>
      <c r="Z7" s="21" t="s">
        <v>34</v>
      </c>
      <c r="AA7" s="21" t="s">
        <v>35</v>
      </c>
      <c r="AB7" s="21" t="s">
        <v>36</v>
      </c>
      <c r="AC7" s="21" t="s">
        <v>37</v>
      </c>
      <c r="AD7" s="21" t="s">
        <v>38</v>
      </c>
      <c r="AE7" s="21" t="s">
        <v>39</v>
      </c>
      <c r="AF7" s="21" t="s">
        <v>40</v>
      </c>
      <c r="AH7" s="21" t="s">
        <v>1</v>
      </c>
      <c r="AI7" s="21" t="s">
        <v>33</v>
      </c>
      <c r="AJ7" s="21" t="s">
        <v>34</v>
      </c>
      <c r="AK7" s="21" t="s">
        <v>35</v>
      </c>
      <c r="AL7" s="21" t="s">
        <v>36</v>
      </c>
      <c r="AM7" s="21" t="s">
        <v>37</v>
      </c>
      <c r="AN7" s="21" t="s">
        <v>38</v>
      </c>
      <c r="AO7" s="21" t="s">
        <v>39</v>
      </c>
      <c r="AP7" s="21" t="s">
        <v>40</v>
      </c>
      <c r="BB7" t="s">
        <v>42</v>
      </c>
      <c r="BC7" t="s">
        <v>268</v>
      </c>
      <c r="BD7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7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7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7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7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7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7">
        <f>GroupStandings[[#This Row],[GF]]-GroupStandings[[#This Row],[GA]]</f>
        <v>0</v>
      </c>
      <c r="BK7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7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2</v>
      </c>
    </row>
    <row r="8" spans="1:64" ht="16" x14ac:dyDescent="0.2">
      <c r="A8" s="29" t="s">
        <v>42</v>
      </c>
      <c r="B8" s="12" t="s">
        <v>53</v>
      </c>
      <c r="C8" s="22" t="s">
        <v>48</v>
      </c>
      <c r="D8" s="22" t="s">
        <v>45</v>
      </c>
      <c r="E8" s="18"/>
      <c r="F8" s="18"/>
      <c r="G8" s="12" t="str">
        <f>IF(AND(GroupFixtures[[#This Row],[Home Score]]&lt;&gt;"",GroupFixtures[[#This Row],[Away Score]]&lt;&gt;""),1,"")</f>
        <v/>
      </c>
      <c r="H8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8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8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8" s="12" t="s">
        <v>217</v>
      </c>
      <c r="L8" s="38">
        <v>0.70833333333333337</v>
      </c>
      <c r="N8" s="12" t="str" cm="1">
        <f t="array" ref="N8">_xlfn.XLOOKUP(1,($BB$5:$BB$52="A")*($BL$5:$BL$52=1),$BC$5:$BC$52,"")</f>
        <v>Czechia (Div)</v>
      </c>
      <c r="O8" s="12" cm="1">
        <f t="array" ref="O8">_xlfn.XLOOKUP(1,($BB$5:$BB$52="A")*($BL$5:$BL$52=1),$BD$5:$BD$52,"")</f>
        <v>0</v>
      </c>
      <c r="P8" s="12" cm="1">
        <f t="array" ref="P8">_xlfn.XLOOKUP(1,($BB$5:$BB$52="A")*($BL$5:$BL$52=1),$BE$5:$BE$52,"")</f>
        <v>0</v>
      </c>
      <c r="Q8" s="12" cm="1">
        <f t="array" ref="Q8">_xlfn.XLOOKUP(1,($BB$5:$BB$52="A")*($BL$5:$BL$52=1),$BF$5:$BF$52,"")</f>
        <v>0</v>
      </c>
      <c r="R8" s="12" cm="1">
        <f t="array" ref="R8">_xlfn.XLOOKUP(1,($BB$5:$BB$52="A")*($BL$5:$BL$52=1),$BG$5:$BG$52,"")</f>
        <v>0</v>
      </c>
      <c r="S8" s="12" cm="1">
        <f t="array" ref="S8">_xlfn.XLOOKUP(1,($BB$5:$BB$52="A")*($BL$5:$BL$52=1),$BH$5:$BH$52,"")</f>
        <v>0</v>
      </c>
      <c r="T8" s="12" cm="1">
        <f t="array" ref="T8">_xlfn.XLOOKUP(1,($BB$5:$BB$52="A")*($BL$5:$BL$52=1),$BI$5:$BI$52,"")</f>
        <v>0</v>
      </c>
      <c r="U8" s="12" cm="1">
        <f t="array" ref="U8">_xlfn.XLOOKUP(1,($BB$5:$BB$52="A")*($BL$5:$BL$52=1),$BJ$5:$BJ$52,"")</f>
        <v>0</v>
      </c>
      <c r="V8" s="12" cm="1">
        <f t="array" ref="V8">_xlfn.XLOOKUP(1,($BB$5:$BB$52="A")*($BL$5:$BL$52=1),$BK$5:$BK$52,"")</f>
        <v>0</v>
      </c>
      <c r="X8" s="12" t="str" cm="1">
        <f t="array" ref="X8">_xlfn.XLOOKUP(1,($BB$5:$BB$52="B")*($BL$5:$BL$52=1),$BC$5:$BC$52,"")</f>
        <v>Bosnia and Herzegovina (Sean)</v>
      </c>
      <c r="Y8" s="12" cm="1">
        <f t="array" ref="Y8">_xlfn.XLOOKUP(1,($BB$5:$BB$52="B")*($BL$5:$BL$52=1),$BD$5:$BD$52,"")</f>
        <v>0</v>
      </c>
      <c r="Z8" s="12" cm="1">
        <f t="array" ref="Z8">_xlfn.XLOOKUP(1,($BB$5:$BB$52="B")*($BL$5:$BL$52=1),$BE$5:$BE$52,"")</f>
        <v>0</v>
      </c>
      <c r="AA8" s="12" cm="1">
        <f t="array" ref="AA8">_xlfn.XLOOKUP(1,($BB$5:$BB$52="B")*($BL$5:$BL$52=1),$BF$5:$BF$52,"")</f>
        <v>0</v>
      </c>
      <c r="AB8" s="12" cm="1">
        <f t="array" ref="AB8">_xlfn.XLOOKUP(1,($BB$5:$BB$52="B")*($BL$5:$BL$52=1),$BG$5:$BG$52,"")</f>
        <v>0</v>
      </c>
      <c r="AC8" s="12" cm="1">
        <f t="array" ref="AC8">_xlfn.XLOOKUP(1,($BB$5:$BB$52="B")*($BL$5:$BL$52=1),$BH$5:$BH$52,"")</f>
        <v>0</v>
      </c>
      <c r="AD8" s="12" cm="1">
        <f t="array" ref="AD8">_xlfn.XLOOKUP(1,($BB$5:$BB$52="B")*($BL$5:$BL$52=1),$BI$5:$BI$52,"")</f>
        <v>0</v>
      </c>
      <c r="AE8" s="12" cm="1">
        <f t="array" ref="AE8">_xlfn.XLOOKUP(1,($BB$5:$BB$52="B")*($BL$5:$BL$52=1),$BJ$5:$BJ$52,"")</f>
        <v>0</v>
      </c>
      <c r="AF8" s="12" cm="1">
        <f t="array" ref="AF8">_xlfn.XLOOKUP(1,($BB$5:$BB$52="B")*($BL$5:$BL$52=1),$BK$5:$BK$52,"")</f>
        <v>0</v>
      </c>
      <c r="AH8" s="12" t="str" cm="1">
        <f t="array" ref="AH8">_xlfn.XLOOKUP(1,($BB$5:$BB$52="C")*($BL$5:$BL$52=1),$BC$5:$BC$52,"")</f>
        <v>Brazil (Fabio)</v>
      </c>
      <c r="AI8" s="12" cm="1">
        <f t="array" ref="AI8">_xlfn.XLOOKUP(1,($BB$5:$BB$52="C")*($BL$5:$BL$52=1),$BD$5:$BD$52,"")</f>
        <v>0</v>
      </c>
      <c r="AJ8" s="12" cm="1">
        <f t="array" ref="AJ8">_xlfn.XLOOKUP(1,($BB$5:$BB$52="C")*($BL$5:$BL$52=1),$BE$5:$BE$52,"")</f>
        <v>0</v>
      </c>
      <c r="AK8" s="12" cm="1">
        <f t="array" ref="AK8">_xlfn.XLOOKUP(1,($BB$5:$BB$52="C")*($BL$5:$BL$52=1),$BF$5:$BF$52,"")</f>
        <v>0</v>
      </c>
      <c r="AL8" s="12" cm="1">
        <f t="array" ref="AL8">_xlfn.XLOOKUP(1,($BB$5:$BB$52="C")*($BL$5:$BL$52=1),$BG$5:$BG$52,"")</f>
        <v>0</v>
      </c>
      <c r="AM8" s="12" cm="1">
        <f t="array" ref="AM8">_xlfn.XLOOKUP(1,($BB$5:$BB$52="C")*($BL$5:$BL$52=1),$BH$5:$BH$52,"")</f>
        <v>0</v>
      </c>
      <c r="AN8" s="12" cm="1">
        <f t="array" ref="AN8">_xlfn.XLOOKUP(1,($BB$5:$BB$52="C")*($BL$5:$BL$52=1),$BI$5:$BI$52,"")</f>
        <v>0</v>
      </c>
      <c r="AO8" s="12" cm="1">
        <f t="array" ref="AO8">_xlfn.XLOOKUP(1,($BB$5:$BB$52="C")*($BL$5:$BL$52=1),$BJ$5:$BJ$52,"")</f>
        <v>0</v>
      </c>
      <c r="AP8" s="12" cm="1">
        <f t="array" ref="AP8">_xlfn.XLOOKUP(1,($BB$5:$BB$52="C")*($BL$5:$BL$52=1),$BK$5:$BK$52,"")</f>
        <v>0</v>
      </c>
      <c r="BB8" t="s">
        <v>42</v>
      </c>
      <c r="BC8" t="s">
        <v>261</v>
      </c>
      <c r="BD8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8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8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8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8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8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8">
        <f>GroupStandings[[#This Row],[GF]]-GroupStandings[[#This Row],[GA]]</f>
        <v>0</v>
      </c>
      <c r="BK8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8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1</v>
      </c>
    </row>
    <row r="9" spans="1:64" ht="16" x14ac:dyDescent="0.2">
      <c r="A9" s="29" t="s">
        <v>42</v>
      </c>
      <c r="B9" s="12" t="s">
        <v>54</v>
      </c>
      <c r="C9" s="22" t="s">
        <v>48</v>
      </c>
      <c r="D9" s="22" t="s">
        <v>44</v>
      </c>
      <c r="E9" s="18"/>
      <c r="F9" s="18"/>
      <c r="G9" s="12" t="str">
        <f>IF(AND(GroupFixtures[[#This Row],[Home Score]]&lt;&gt;"",GroupFixtures[[#This Row],[Away Score]]&lt;&gt;""),1,"")</f>
        <v/>
      </c>
      <c r="H9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9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9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9" s="12" t="s">
        <v>218</v>
      </c>
      <c r="L9" s="38">
        <v>8.3333333333333329E-2</v>
      </c>
      <c r="N9" s="12" t="str" cm="1">
        <f t="array" ref="N9">_xlfn.XLOOKUP(1,($BB$5:$BB$52="A")*($BL$5:$BL$52=2),$BC$5:$BC$52,"")</f>
        <v>Korea Republic (Marija)</v>
      </c>
      <c r="O9" s="12" cm="1">
        <f t="array" ref="O9">_xlfn.XLOOKUP(1,($BB$5:$BB$52="A")*($BL$5:$BL$52=2),$BD$5:$BD$52,"")</f>
        <v>0</v>
      </c>
      <c r="P9" s="12" cm="1">
        <f t="array" ref="P9">_xlfn.XLOOKUP(1,($BB$5:$BB$52="A")*($BL$5:$BL$52=2),$BE$5:$BE$52,"")</f>
        <v>0</v>
      </c>
      <c r="Q9" s="12" cm="1">
        <f t="array" ref="Q9">_xlfn.XLOOKUP(1,($BB$5:$BB$52="A")*($BL$5:$BL$52=2),$BF$5:$BF$52,"")</f>
        <v>0</v>
      </c>
      <c r="R9" s="12" cm="1">
        <f t="array" ref="R9">_xlfn.XLOOKUP(1,($BB$5:$BB$52="A")*($BL$5:$BL$52=2),$BG$5:$BG$52,"")</f>
        <v>0</v>
      </c>
      <c r="S9" s="12" cm="1">
        <f t="array" ref="S9">_xlfn.XLOOKUP(1,($BB$5:$BB$52="A")*($BL$5:$BL$52=2),$BH$5:$BH$52,"")</f>
        <v>0</v>
      </c>
      <c r="T9" s="12" cm="1">
        <f t="array" ref="T9">_xlfn.XLOOKUP(1,($BB$5:$BB$52="A")*($BL$5:$BL$52=2),$BI$5:$BI$52,"")</f>
        <v>0</v>
      </c>
      <c r="U9" s="12" cm="1">
        <f t="array" ref="U9">_xlfn.XLOOKUP(1,($BB$5:$BB$52="A")*($BL$5:$BL$52=2),$BJ$5:$BJ$52,"")</f>
        <v>0</v>
      </c>
      <c r="V9" s="12" cm="1">
        <f t="array" ref="V9">_xlfn.XLOOKUP(1,($BB$5:$BB$52="A")*($BL$5:$BL$52=2),$BK$5:$BK$52,"")</f>
        <v>0</v>
      </c>
      <c r="X9" s="12" t="str" cm="1">
        <f t="array" ref="X9">_xlfn.XLOOKUP(1,($BB$5:$BB$52="B")*($BL$5:$BL$52=2),$BC$5:$BC$52,"")</f>
        <v>Canada (Nick)</v>
      </c>
      <c r="Y9" s="12" cm="1">
        <f t="array" ref="Y9">_xlfn.XLOOKUP(1,($BB$5:$BB$52="B")*($BL$5:$BL$52=2),$BD$5:$BD$52,"")</f>
        <v>0</v>
      </c>
      <c r="Z9" s="12" cm="1">
        <f t="array" ref="Z9">_xlfn.XLOOKUP(1,($BB$5:$BB$52="B")*($BL$5:$BL$52=2),$BE$5:$BE$52,"")</f>
        <v>0</v>
      </c>
      <c r="AA9" s="12" cm="1">
        <f t="array" ref="AA9">_xlfn.XLOOKUP(1,($BB$5:$BB$52="B")*($BL$5:$BL$52=2),$BF$5:$BF$52,"")</f>
        <v>0</v>
      </c>
      <c r="AB9" s="12" cm="1">
        <f t="array" ref="AB9">_xlfn.XLOOKUP(1,($BB$5:$BB$52="B")*($BL$5:$BL$52=2),$BG$5:$BG$52,"")</f>
        <v>0</v>
      </c>
      <c r="AC9" s="12" cm="1">
        <f t="array" ref="AC9">_xlfn.XLOOKUP(1,($BB$5:$BB$52="B")*($BL$5:$BL$52=2),$BH$5:$BH$52,"")</f>
        <v>0</v>
      </c>
      <c r="AD9" s="12" cm="1">
        <f t="array" ref="AD9">_xlfn.XLOOKUP(1,($BB$5:$BB$52="B")*($BL$5:$BL$52=2),$BI$5:$BI$52,"")</f>
        <v>0</v>
      </c>
      <c r="AE9" s="12" cm="1">
        <f t="array" ref="AE9">_xlfn.XLOOKUP(1,($BB$5:$BB$52="B")*($BL$5:$BL$52=2),$BJ$5:$BJ$52,"")</f>
        <v>0</v>
      </c>
      <c r="AF9" s="12" cm="1">
        <f t="array" ref="AF9">_xlfn.XLOOKUP(1,($BB$5:$BB$52="B")*($BL$5:$BL$52=2),$BK$5:$BK$52,"")</f>
        <v>0</v>
      </c>
      <c r="AH9" s="12" t="str" cm="1">
        <f t="array" ref="AH9">_xlfn.XLOOKUP(1,($BB$5:$BB$52="C")*($BL$5:$BL$52=2),$BC$5:$BC$52,"")</f>
        <v>Haiti (Nelly)</v>
      </c>
      <c r="AI9" s="12" cm="1">
        <f t="array" ref="AI9">_xlfn.XLOOKUP(1,($BB$5:$BB$52="C")*($BL$5:$BL$52=2),$BD$5:$BD$52,"")</f>
        <v>0</v>
      </c>
      <c r="AJ9" s="12" cm="1">
        <f t="array" ref="AJ9">_xlfn.XLOOKUP(1,($BB$5:$BB$52="C")*($BL$5:$BL$52=2),$BE$5:$BE$52,"")</f>
        <v>0</v>
      </c>
      <c r="AK9" s="12" cm="1">
        <f t="array" ref="AK9">_xlfn.XLOOKUP(1,($BB$5:$BB$52="C")*($BL$5:$BL$52=2),$BF$5:$BF$52,"")</f>
        <v>0</v>
      </c>
      <c r="AL9" s="12" cm="1">
        <f t="array" ref="AL9">_xlfn.XLOOKUP(1,($BB$5:$BB$52="C")*($BL$5:$BL$52=2),$BG$5:$BG$52,"")</f>
        <v>0</v>
      </c>
      <c r="AM9" s="12" cm="1">
        <f t="array" ref="AM9">_xlfn.XLOOKUP(1,($BB$5:$BB$52="C")*($BL$5:$BL$52=2),$BH$5:$BH$52,"")</f>
        <v>0</v>
      </c>
      <c r="AN9" s="12" cm="1">
        <f t="array" ref="AN9">_xlfn.XLOOKUP(1,($BB$5:$BB$52="C")*($BL$5:$BL$52=2),$BI$5:$BI$52,"")</f>
        <v>0</v>
      </c>
      <c r="AO9" s="12" cm="1">
        <f t="array" ref="AO9">_xlfn.XLOOKUP(1,($BB$5:$BB$52="C")*($BL$5:$BL$52=2),$BJ$5:$BJ$52,"")</f>
        <v>0</v>
      </c>
      <c r="AP9" s="12" cm="1">
        <f t="array" ref="AP9">_xlfn.XLOOKUP(1,($BB$5:$BB$52="C")*($BL$5:$BL$52=2),$BK$5:$BK$52,"")</f>
        <v>0</v>
      </c>
      <c r="BB9" t="s">
        <v>55</v>
      </c>
      <c r="BC9" t="s">
        <v>282</v>
      </c>
      <c r="BD9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9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9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9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9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9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9">
        <f>GroupStandings[[#This Row],[GF]]-GroupStandings[[#This Row],[GA]]</f>
        <v>0</v>
      </c>
      <c r="BK9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9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2</v>
      </c>
    </row>
    <row r="10" spans="1:64" ht="16" x14ac:dyDescent="0.2">
      <c r="A10" s="29" t="s">
        <v>42</v>
      </c>
      <c r="B10" s="12" t="s">
        <v>57</v>
      </c>
      <c r="C10" s="22" t="s">
        <v>45</v>
      </c>
      <c r="D10" s="22" t="s">
        <v>47</v>
      </c>
      <c r="E10" s="18"/>
      <c r="F10" s="18"/>
      <c r="G10" s="12" t="str">
        <f>IF(AND(GroupFixtures[[#This Row],[Home Score]]&lt;&gt;"",GroupFixtures[[#This Row],[Away Score]]&lt;&gt;""),1,"")</f>
        <v/>
      </c>
      <c r="H10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10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10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10" s="12" t="s">
        <v>218</v>
      </c>
      <c r="L10" s="38">
        <v>8.3333333333333329E-2</v>
      </c>
      <c r="N10" s="12" t="str" cm="1">
        <f t="array" ref="N10">_xlfn.XLOOKUP(1,($BB$5:$BB$52="A")*($BL$5:$BL$52=3),$BC$5:$BC$52,"")</f>
        <v>Mexico (Sean)</v>
      </c>
      <c r="O10" s="12" cm="1">
        <f t="array" ref="O10">_xlfn.XLOOKUP(1,($BB$5:$BB$52="A")*($BL$5:$BL$52=3),$BD$5:$BD$52,"")</f>
        <v>0</v>
      </c>
      <c r="P10" s="12" cm="1">
        <f t="array" ref="P10">_xlfn.XLOOKUP(1,($BB$5:$BB$52="A")*($BL$5:$BL$52=3),$BE$5:$BE$52,"")</f>
        <v>0</v>
      </c>
      <c r="Q10" s="12" cm="1">
        <f t="array" ref="Q10">_xlfn.XLOOKUP(1,($BB$5:$BB$52="A")*($BL$5:$BL$52=3),$BF$5:$BF$52,"")</f>
        <v>0</v>
      </c>
      <c r="R10" s="12" cm="1">
        <f t="array" ref="R10">_xlfn.XLOOKUP(1,($BB$5:$BB$52="A")*($BL$5:$BL$52=3),$BG$5:$BG$52,"")</f>
        <v>0</v>
      </c>
      <c r="S10" s="12" cm="1">
        <f t="array" ref="S10">_xlfn.XLOOKUP(1,($BB$5:$BB$52="A")*($BL$5:$BL$52=3),$BH$5:$BH$52,"")</f>
        <v>0</v>
      </c>
      <c r="T10" s="12" cm="1">
        <f t="array" ref="T10">_xlfn.XLOOKUP(1,($BB$5:$BB$52="A")*($BL$5:$BL$52=3),$BI$5:$BI$52,"")</f>
        <v>0</v>
      </c>
      <c r="U10" s="12" cm="1">
        <f t="array" ref="U10">_xlfn.XLOOKUP(1,($BB$5:$BB$52="A")*($BL$5:$BL$52=3),$BJ$5:$BJ$52,"")</f>
        <v>0</v>
      </c>
      <c r="V10" s="12" cm="1">
        <f t="array" ref="V10">_xlfn.XLOOKUP(1,($BB$5:$BB$52="A")*($BL$5:$BL$52=3),$BK$5:$BK$52,"")</f>
        <v>0</v>
      </c>
      <c r="X10" s="12" t="str" cm="1">
        <f t="array" ref="X10">_xlfn.XLOOKUP(1,($BB$5:$BB$52="B")*($BL$5:$BL$52=3),$BC$5:$BC$52,"")</f>
        <v>Qatar (Mike)</v>
      </c>
      <c r="Y10" s="12" cm="1">
        <f t="array" ref="Y10">_xlfn.XLOOKUP(1,($BB$5:$BB$52="B")*($BL$5:$BL$52=3),$BD$5:$BD$52,"")</f>
        <v>0</v>
      </c>
      <c r="Z10" s="12" cm="1">
        <f t="array" ref="Z10">_xlfn.XLOOKUP(1,($BB$5:$BB$52="B")*($BL$5:$BL$52=3),$BE$5:$BE$52,"")</f>
        <v>0</v>
      </c>
      <c r="AA10" s="12" cm="1">
        <f t="array" ref="AA10">_xlfn.XLOOKUP(1,($BB$5:$BB$52="B")*($BL$5:$BL$52=3),$BF$5:$BF$52,"")</f>
        <v>0</v>
      </c>
      <c r="AB10" s="12" cm="1">
        <f t="array" ref="AB10">_xlfn.XLOOKUP(1,($BB$5:$BB$52="B")*($BL$5:$BL$52=3),$BG$5:$BG$52,"")</f>
        <v>0</v>
      </c>
      <c r="AC10" s="12" cm="1">
        <f t="array" ref="AC10">_xlfn.XLOOKUP(1,($BB$5:$BB$52="B")*($BL$5:$BL$52=3),$BH$5:$BH$52,"")</f>
        <v>0</v>
      </c>
      <c r="AD10" s="12" cm="1">
        <f t="array" ref="AD10">_xlfn.XLOOKUP(1,($BB$5:$BB$52="B")*($BL$5:$BL$52=3),$BI$5:$BI$52,"")</f>
        <v>0</v>
      </c>
      <c r="AE10" s="12" cm="1">
        <f t="array" ref="AE10">_xlfn.XLOOKUP(1,($BB$5:$BB$52="B")*($BL$5:$BL$52=3),$BJ$5:$BJ$52,"")</f>
        <v>0</v>
      </c>
      <c r="AF10" s="12" cm="1">
        <f t="array" ref="AF10">_xlfn.XLOOKUP(1,($BB$5:$BB$52="B")*($BL$5:$BL$52=3),$BK$5:$BK$52,"")</f>
        <v>0</v>
      </c>
      <c r="AH10" s="12" t="str" cm="1">
        <f t="array" ref="AH10">_xlfn.XLOOKUP(1,($BB$5:$BB$52="C")*($BL$5:$BL$52=3),$BC$5:$BC$52,"")</f>
        <v>Morocco (Mark)</v>
      </c>
      <c r="AI10" s="12" cm="1">
        <f t="array" ref="AI10">_xlfn.XLOOKUP(1,($BB$5:$BB$52="C")*($BL$5:$BL$52=3),$BD$5:$BD$52,"")</f>
        <v>0</v>
      </c>
      <c r="AJ10" s="12" cm="1">
        <f t="array" ref="AJ10">_xlfn.XLOOKUP(1,($BB$5:$BB$52="C")*($BL$5:$BL$52=3),$BE$5:$BE$52,"")</f>
        <v>0</v>
      </c>
      <c r="AK10" s="12" cm="1">
        <f t="array" ref="AK10">_xlfn.XLOOKUP(1,($BB$5:$BB$52="C")*($BL$5:$BL$52=3),$BF$5:$BF$52,"")</f>
        <v>0</v>
      </c>
      <c r="AL10" s="12" cm="1">
        <f t="array" ref="AL10">_xlfn.XLOOKUP(1,($BB$5:$BB$52="C")*($BL$5:$BL$52=3),$BG$5:$BG$52,"")</f>
        <v>0</v>
      </c>
      <c r="AM10" s="12" cm="1">
        <f t="array" ref="AM10">_xlfn.XLOOKUP(1,($BB$5:$BB$52="C")*($BL$5:$BL$52=3),$BH$5:$BH$52,"")</f>
        <v>0</v>
      </c>
      <c r="AN10" s="12" cm="1">
        <f t="array" ref="AN10">_xlfn.XLOOKUP(1,($BB$5:$BB$52="C")*($BL$5:$BL$52=3),$BI$5:$BI$52,"")</f>
        <v>0</v>
      </c>
      <c r="AO10" s="12" cm="1">
        <f t="array" ref="AO10">_xlfn.XLOOKUP(1,($BB$5:$BB$52="C")*($BL$5:$BL$52=3),$BJ$5:$BJ$52,"")</f>
        <v>0</v>
      </c>
      <c r="AP10" s="12" cm="1">
        <f t="array" ref="AP10">_xlfn.XLOOKUP(1,($BB$5:$BB$52="C")*($BL$5:$BL$52=3),$BK$5:$BK$52,"")</f>
        <v>0</v>
      </c>
      <c r="BB10" t="s">
        <v>55</v>
      </c>
      <c r="BC10" t="s">
        <v>290</v>
      </c>
      <c r="BD10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10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10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10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10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10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10">
        <f>GroupStandings[[#This Row],[GF]]-GroupStandings[[#This Row],[GA]]</f>
        <v>0</v>
      </c>
      <c r="BK10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10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1</v>
      </c>
    </row>
    <row r="11" spans="1:64" ht="16" x14ac:dyDescent="0.2">
      <c r="A11" s="29" t="s">
        <v>55</v>
      </c>
      <c r="B11" s="12" t="s">
        <v>59</v>
      </c>
      <c r="C11" s="22" t="s">
        <v>56</v>
      </c>
      <c r="D11" s="22" t="s">
        <v>58</v>
      </c>
      <c r="E11" s="18"/>
      <c r="F11" s="18"/>
      <c r="G11" s="12" t="str">
        <f>IF(AND(GroupFixtures[[#This Row],[Home Score]]&lt;&gt;"",GroupFixtures[[#This Row],[Away Score]]&lt;&gt;""),1,"")</f>
        <v/>
      </c>
      <c r="H11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11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11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11" s="12" t="s">
        <v>215</v>
      </c>
      <c r="L11" s="38">
        <v>0.83333333333333337</v>
      </c>
      <c r="N11" s="12" t="str" cm="1">
        <f t="array" ref="N11">_xlfn.XLOOKUP(1,($BB$5:$BB$52="A")*($BL$5:$BL$52=4),$BC$5:$BC$52,"")</f>
        <v>South Africa (Matt M)</v>
      </c>
      <c r="O11" s="12" cm="1">
        <f t="array" ref="O11">_xlfn.XLOOKUP(1,($BB$5:$BB$52="A")*($BL$5:$BL$52=4),$BD$5:$BD$52,"")</f>
        <v>0</v>
      </c>
      <c r="P11" s="12" cm="1">
        <f t="array" ref="P11">_xlfn.XLOOKUP(1,($BB$5:$BB$52="A")*($BL$5:$BL$52=4),$BE$5:$BE$52,"")</f>
        <v>0</v>
      </c>
      <c r="Q11" s="12" cm="1">
        <f t="array" ref="Q11">_xlfn.XLOOKUP(1,($BB$5:$BB$52="A")*($BL$5:$BL$52=4),$BF$5:$BF$52,"")</f>
        <v>0</v>
      </c>
      <c r="R11" s="12" cm="1">
        <f t="array" ref="R11">_xlfn.XLOOKUP(1,($BB$5:$BB$52="A")*($BL$5:$BL$52=4),$BG$5:$BG$52,"")</f>
        <v>0</v>
      </c>
      <c r="S11" s="12" cm="1">
        <f t="array" ref="S11">_xlfn.XLOOKUP(1,($BB$5:$BB$52="A")*($BL$5:$BL$52=4),$BH$5:$BH$52,"")</f>
        <v>0</v>
      </c>
      <c r="T11" s="12" cm="1">
        <f t="array" ref="T11">_xlfn.XLOOKUP(1,($BB$5:$BB$52="A")*($BL$5:$BL$52=4),$BI$5:$BI$52,"")</f>
        <v>0</v>
      </c>
      <c r="U11" s="12" cm="1">
        <f t="array" ref="U11">_xlfn.XLOOKUP(1,($BB$5:$BB$52="A")*($BL$5:$BL$52=4),$BJ$5:$BJ$52,"")</f>
        <v>0</v>
      </c>
      <c r="V11" s="12" cm="1">
        <f t="array" ref="V11">_xlfn.XLOOKUP(1,($BB$5:$BB$52="A")*($BL$5:$BL$52=4),$BK$5:$BK$52,"")</f>
        <v>0</v>
      </c>
      <c r="X11" s="12" t="str" cm="1">
        <f t="array" ref="X11">_xlfn.XLOOKUP(1,($BB$5:$BB$52="B")*($BL$5:$BL$52=4),$BC$5:$BC$52,"")</f>
        <v>Switzerland (Nick)</v>
      </c>
      <c r="Y11" s="12" cm="1">
        <f t="array" ref="Y11">_xlfn.XLOOKUP(1,($BB$5:$BB$52="B")*($BL$5:$BL$52=4),$BD$5:$BD$52,"")</f>
        <v>0</v>
      </c>
      <c r="Z11" s="12" cm="1">
        <f t="array" ref="Z11">_xlfn.XLOOKUP(1,($BB$5:$BB$52="B")*($BL$5:$BL$52=4),$BE$5:$BE$52,"")</f>
        <v>0</v>
      </c>
      <c r="AA11" s="12" cm="1">
        <f t="array" ref="AA11">_xlfn.XLOOKUP(1,($BB$5:$BB$52="B")*($BL$5:$BL$52=4),$BF$5:$BF$52,"")</f>
        <v>0</v>
      </c>
      <c r="AB11" s="12" cm="1">
        <f t="array" ref="AB11">_xlfn.XLOOKUP(1,($BB$5:$BB$52="B")*($BL$5:$BL$52=4),$BG$5:$BG$52,"")</f>
        <v>0</v>
      </c>
      <c r="AC11" s="12" cm="1">
        <f t="array" ref="AC11">_xlfn.XLOOKUP(1,($BB$5:$BB$52="B")*($BL$5:$BL$52=4),$BH$5:$BH$52,"")</f>
        <v>0</v>
      </c>
      <c r="AD11" s="12" cm="1">
        <f t="array" ref="AD11">_xlfn.XLOOKUP(1,($BB$5:$BB$52="B")*($BL$5:$BL$52=4),$BI$5:$BI$52,"")</f>
        <v>0</v>
      </c>
      <c r="AE11" s="12" cm="1">
        <f t="array" ref="AE11">_xlfn.XLOOKUP(1,($BB$5:$BB$52="B")*($BL$5:$BL$52=4),$BJ$5:$BJ$52,"")</f>
        <v>0</v>
      </c>
      <c r="AF11" s="12" cm="1">
        <f t="array" ref="AF11">_xlfn.XLOOKUP(1,($BB$5:$BB$52="B")*($BL$5:$BL$52=4),$BK$5:$BK$52,"")</f>
        <v>0</v>
      </c>
      <c r="AH11" s="12" t="str" cm="1">
        <f t="array" ref="AH11">_xlfn.XLOOKUP(1,($BB$5:$BB$52="C")*($BL$5:$BL$52=4),$BC$5:$BC$52,"")</f>
        <v>Scotland (Tom)</v>
      </c>
      <c r="AI11" s="12" cm="1">
        <f t="array" ref="AI11">_xlfn.XLOOKUP(1,($BB$5:$BB$52="C")*($BL$5:$BL$52=4),$BD$5:$BD$52,"")</f>
        <v>0</v>
      </c>
      <c r="AJ11" s="12" cm="1">
        <f t="array" ref="AJ11">_xlfn.XLOOKUP(1,($BB$5:$BB$52="C")*($BL$5:$BL$52=4),$BE$5:$BE$52,"")</f>
        <v>0</v>
      </c>
      <c r="AK11" s="12" cm="1">
        <f t="array" ref="AK11">_xlfn.XLOOKUP(1,($BB$5:$BB$52="C")*($BL$5:$BL$52=4),$BF$5:$BF$52,"")</f>
        <v>0</v>
      </c>
      <c r="AL11" s="12" cm="1">
        <f t="array" ref="AL11">_xlfn.XLOOKUP(1,($BB$5:$BB$52="C")*($BL$5:$BL$52=4),$BG$5:$BG$52,"")</f>
        <v>0</v>
      </c>
      <c r="AM11" s="12" cm="1">
        <f t="array" ref="AM11">_xlfn.XLOOKUP(1,($BB$5:$BB$52="C")*($BL$5:$BL$52=4),$BH$5:$BH$52,"")</f>
        <v>0</v>
      </c>
      <c r="AN11" s="12" cm="1">
        <f t="array" ref="AN11">_xlfn.XLOOKUP(1,($BB$5:$BB$52="C")*($BL$5:$BL$52=4),$BI$5:$BI$52,"")</f>
        <v>0</v>
      </c>
      <c r="AO11" s="12" cm="1">
        <f t="array" ref="AO11">_xlfn.XLOOKUP(1,($BB$5:$BB$52="C")*($BL$5:$BL$52=4),$BJ$5:$BJ$52,"")</f>
        <v>0</v>
      </c>
      <c r="AP11" s="12" cm="1">
        <f t="array" ref="AP11">_xlfn.XLOOKUP(1,($BB$5:$BB$52="C")*($BL$5:$BL$52=4),$BK$5:$BK$52,"")</f>
        <v>0</v>
      </c>
      <c r="BB11" t="s">
        <v>55</v>
      </c>
      <c r="BC11" t="s">
        <v>278</v>
      </c>
      <c r="BD11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11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11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11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11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11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11">
        <f>GroupStandings[[#This Row],[GF]]-GroupStandings[[#This Row],[GA]]</f>
        <v>0</v>
      </c>
      <c r="BK11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11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3</v>
      </c>
    </row>
    <row r="12" spans="1:64" ht="16" x14ac:dyDescent="0.2">
      <c r="A12" s="29" t="s">
        <v>55</v>
      </c>
      <c r="B12" s="12" t="s">
        <v>61</v>
      </c>
      <c r="C12" s="22" t="s">
        <v>60</v>
      </c>
      <c r="D12" s="22" t="s">
        <v>62</v>
      </c>
      <c r="E12" s="18"/>
      <c r="F12" s="18"/>
      <c r="G12" s="12" t="str">
        <f>IF(AND(GroupFixtures[[#This Row],[Home Score]]&lt;&gt;"",GroupFixtures[[#This Row],[Away Score]]&lt;&gt;""),1,"")</f>
        <v/>
      </c>
      <c r="H12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12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12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12" s="12" t="s">
        <v>220</v>
      </c>
      <c r="L12" s="38">
        <v>0.83333333333333337</v>
      </c>
      <c r="BB12" t="s">
        <v>55</v>
      </c>
      <c r="BC12" t="s">
        <v>283</v>
      </c>
      <c r="BD12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12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12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12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12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12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12">
        <f>GroupStandings[[#This Row],[GF]]-GroupStandings[[#This Row],[GA]]</f>
        <v>0</v>
      </c>
      <c r="BK12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12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4</v>
      </c>
    </row>
    <row r="13" spans="1:64" ht="16" x14ac:dyDescent="0.2">
      <c r="A13" s="29" t="s">
        <v>55</v>
      </c>
      <c r="B13" s="12" t="s">
        <v>63</v>
      </c>
      <c r="C13" s="22" t="s">
        <v>56</v>
      </c>
      <c r="D13" s="22" t="s">
        <v>60</v>
      </c>
      <c r="E13" s="18"/>
      <c r="F13" s="18"/>
      <c r="G13" s="12" t="str">
        <f>IF(AND(GroupFixtures[[#This Row],[Home Score]]&lt;&gt;"",GroupFixtures[[#This Row],[Away Score]]&lt;&gt;""),1,"")</f>
        <v/>
      </c>
      <c r="H13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13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13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13" s="12" t="s">
        <v>217</v>
      </c>
      <c r="L13" s="38">
        <v>0.95833333333333337</v>
      </c>
      <c r="BB13" t="s">
        <v>64</v>
      </c>
      <c r="BC13" t="s">
        <v>263</v>
      </c>
      <c r="BD13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13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13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13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13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13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13">
        <f>GroupStandings[[#This Row],[GF]]-GroupStandings[[#This Row],[GA]]</f>
        <v>0</v>
      </c>
      <c r="BK13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13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1</v>
      </c>
    </row>
    <row r="14" spans="1:64" ht="16" x14ac:dyDescent="0.2">
      <c r="A14" s="29" t="s">
        <v>55</v>
      </c>
      <c r="B14" s="12" t="s">
        <v>66</v>
      </c>
      <c r="C14" s="22" t="s">
        <v>62</v>
      </c>
      <c r="D14" s="22" t="s">
        <v>58</v>
      </c>
      <c r="E14" s="18"/>
      <c r="F14" s="18"/>
      <c r="G14" s="12" t="str">
        <f>IF(AND(GroupFixtures[[#This Row],[Home Score]]&lt;&gt;"",GroupFixtures[[#This Row],[Away Score]]&lt;&gt;""),1,"")</f>
        <v/>
      </c>
      <c r="H14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14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14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14" s="12" t="s">
        <v>217</v>
      </c>
      <c r="L14" s="38">
        <v>0.83333333333333337</v>
      </c>
      <c r="N14" s="11" t="s">
        <v>67</v>
      </c>
      <c r="O14" s="11"/>
      <c r="P14" s="11"/>
      <c r="Q14" s="11"/>
      <c r="R14" s="11"/>
      <c r="S14" s="11"/>
      <c r="T14" s="11"/>
      <c r="U14" s="11"/>
      <c r="V14" s="11"/>
      <c r="X14" s="11" t="s">
        <v>68</v>
      </c>
      <c r="Y14" s="11"/>
      <c r="Z14" s="11"/>
      <c r="AA14" s="11"/>
      <c r="AB14" s="11"/>
      <c r="AC14" s="11"/>
      <c r="AD14" s="11"/>
      <c r="AE14" s="11"/>
      <c r="AF14" s="11"/>
      <c r="AH14" s="11" t="s">
        <v>69</v>
      </c>
      <c r="AI14" s="11"/>
      <c r="AJ14" s="11"/>
      <c r="AK14" s="11"/>
      <c r="AL14" s="11"/>
      <c r="AM14" s="11"/>
      <c r="AN14" s="11"/>
      <c r="AO14" s="11"/>
      <c r="AP14" s="11"/>
      <c r="BB14" t="s">
        <v>64</v>
      </c>
      <c r="BC14" t="s">
        <v>271</v>
      </c>
      <c r="BD14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14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14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14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14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14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14">
        <f>GroupStandings[[#This Row],[GF]]-GroupStandings[[#This Row],[GA]]</f>
        <v>0</v>
      </c>
      <c r="BK14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14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3</v>
      </c>
    </row>
    <row r="15" spans="1:64" ht="16" x14ac:dyDescent="0.2">
      <c r="A15" s="29" t="s">
        <v>55</v>
      </c>
      <c r="B15" s="12" t="s">
        <v>71</v>
      </c>
      <c r="C15" s="22" t="s">
        <v>62</v>
      </c>
      <c r="D15" s="22" t="s">
        <v>56</v>
      </c>
      <c r="E15" s="18"/>
      <c r="F15" s="18"/>
      <c r="G15" s="12" t="str">
        <f>IF(AND(GroupFixtures[[#This Row],[Home Score]]&lt;&gt;"",GroupFixtures[[#This Row],[Away Score]]&lt;&gt;""),1,"")</f>
        <v/>
      </c>
      <c r="H15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15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15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15" s="12" t="s">
        <v>221</v>
      </c>
      <c r="L15" s="38">
        <v>0.83333333333333337</v>
      </c>
      <c r="N15" s="21" t="s">
        <v>1</v>
      </c>
      <c r="O15" s="21" t="s">
        <v>33</v>
      </c>
      <c r="P15" s="21" t="s">
        <v>34</v>
      </c>
      <c r="Q15" s="21" t="s">
        <v>35</v>
      </c>
      <c r="R15" s="21" t="s">
        <v>36</v>
      </c>
      <c r="S15" s="21" t="s">
        <v>37</v>
      </c>
      <c r="T15" s="21" t="s">
        <v>38</v>
      </c>
      <c r="U15" s="21" t="s">
        <v>39</v>
      </c>
      <c r="V15" s="21" t="s">
        <v>40</v>
      </c>
      <c r="X15" s="21" t="s">
        <v>1</v>
      </c>
      <c r="Y15" s="21" t="s">
        <v>33</v>
      </c>
      <c r="Z15" s="21" t="s">
        <v>34</v>
      </c>
      <c r="AA15" s="21" t="s">
        <v>35</v>
      </c>
      <c r="AB15" s="21" t="s">
        <v>36</v>
      </c>
      <c r="AC15" s="21" t="s">
        <v>37</v>
      </c>
      <c r="AD15" s="21" t="s">
        <v>38</v>
      </c>
      <c r="AE15" s="21" t="s">
        <v>39</v>
      </c>
      <c r="AF15" s="21" t="s">
        <v>40</v>
      </c>
      <c r="AH15" s="21" t="s">
        <v>1</v>
      </c>
      <c r="AI15" s="21" t="s">
        <v>33</v>
      </c>
      <c r="AJ15" s="21" t="s">
        <v>34</v>
      </c>
      <c r="AK15" s="21" t="s">
        <v>35</v>
      </c>
      <c r="AL15" s="21" t="s">
        <v>36</v>
      </c>
      <c r="AM15" s="21" t="s">
        <v>37</v>
      </c>
      <c r="AN15" s="21" t="s">
        <v>38</v>
      </c>
      <c r="AO15" s="21" t="s">
        <v>39</v>
      </c>
      <c r="AP15" s="21" t="s">
        <v>40</v>
      </c>
      <c r="BB15" t="s">
        <v>64</v>
      </c>
      <c r="BC15" t="s">
        <v>280</v>
      </c>
      <c r="BD15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15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15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15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15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15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15">
        <f>GroupStandings[[#This Row],[GF]]-GroupStandings[[#This Row],[GA]]</f>
        <v>0</v>
      </c>
      <c r="BK15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15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2</v>
      </c>
    </row>
    <row r="16" spans="1:64" ht="16" x14ac:dyDescent="0.2">
      <c r="A16" s="29" t="s">
        <v>55</v>
      </c>
      <c r="B16" s="12" t="s">
        <v>73</v>
      </c>
      <c r="C16" s="22" t="s">
        <v>58</v>
      </c>
      <c r="D16" s="22" t="s">
        <v>60</v>
      </c>
      <c r="E16" s="18"/>
      <c r="F16" s="18"/>
      <c r="G16" s="12" t="str">
        <f>IF(AND(GroupFixtures[[#This Row],[Home Score]]&lt;&gt;"",GroupFixtures[[#This Row],[Away Score]]&lt;&gt;""),1,"")</f>
        <v/>
      </c>
      <c r="H16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16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16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16" s="12" t="s">
        <v>221</v>
      </c>
      <c r="L16" s="38">
        <v>0.83333333333333337</v>
      </c>
      <c r="N16" s="12" t="str" cm="1">
        <f t="array" ref="N16">_xlfn.XLOOKUP(1,($BB$5:$BB$52="D")*($BL$5:$BL$52=1),$BC$5:$BC$52,"")</f>
        <v>Australia (Caoimhe)</v>
      </c>
      <c r="O16" s="12" cm="1">
        <f t="array" ref="O16">_xlfn.XLOOKUP(1,($BB$5:$BB$52="D")*($BL$5:$BL$52=1),$BD$5:$BD$52,"")</f>
        <v>0</v>
      </c>
      <c r="P16" s="12" cm="1">
        <f t="array" ref="P16">_xlfn.XLOOKUP(1,($BB$5:$BB$52="D")*($BL$5:$BL$52=1),$BE$5:$BE$52,"")</f>
        <v>0</v>
      </c>
      <c r="Q16" s="12" cm="1">
        <f t="array" ref="Q16">_xlfn.XLOOKUP(1,($BB$5:$BB$52="D")*($BL$5:$BL$52=1),$BF$5:$BF$52,"")</f>
        <v>0</v>
      </c>
      <c r="R16" s="12" cm="1">
        <f t="array" ref="R16">_xlfn.XLOOKUP(1,($BB$5:$BB$52="D")*($BL$5:$BL$52=1),$BG$5:$BG$52,"")</f>
        <v>0</v>
      </c>
      <c r="S16" s="12" cm="1">
        <f t="array" ref="S16">_xlfn.XLOOKUP(1,($BB$5:$BB$52="D")*($BL$5:$BL$52=1),$BH$5:$BH$52,"")</f>
        <v>0</v>
      </c>
      <c r="T16" s="12" cm="1">
        <f t="array" ref="T16">_xlfn.XLOOKUP(1,($BB$5:$BB$52="D")*($BL$5:$BL$52=1),$BI$5:$BI$52,"")</f>
        <v>0</v>
      </c>
      <c r="U16" s="12" cm="1">
        <f t="array" ref="U16">_xlfn.XLOOKUP(1,($BB$5:$BB$52="D")*($BL$5:$BL$52=1),$BJ$5:$BJ$52,"")</f>
        <v>0</v>
      </c>
      <c r="V16" s="12" cm="1">
        <f t="array" ref="V16">_xlfn.XLOOKUP(1,($BB$5:$BB$52="D")*($BL$5:$BL$52=1),$BK$5:$BK$52,"")</f>
        <v>0</v>
      </c>
      <c r="X16" s="12" t="str" cm="1">
        <f t="array" ref="X16">_xlfn.XLOOKUP(1,($BB$5:$BB$52="E")*($BL$5:$BL$52=1),$BC$5:$BC$52,"")</f>
        <v>Côte d'Ivoire (Matt M)</v>
      </c>
      <c r="Y16" s="12" cm="1">
        <f t="array" ref="Y16">_xlfn.XLOOKUP(1,($BB$5:$BB$52="E")*($BL$5:$BL$52=1),$BD$5:$BD$52,"")</f>
        <v>0</v>
      </c>
      <c r="Z16" s="12" cm="1">
        <f t="array" ref="Z16">_xlfn.XLOOKUP(1,($BB$5:$BB$52="E")*($BL$5:$BL$52=1),$BE$5:$BE$52,"")</f>
        <v>0</v>
      </c>
      <c r="AA16" s="12" cm="1">
        <f t="array" ref="AA16">_xlfn.XLOOKUP(1,($BB$5:$BB$52="E")*($BL$5:$BL$52=1),$BF$5:$BF$52,"")</f>
        <v>0</v>
      </c>
      <c r="AB16" s="12" cm="1">
        <f t="array" ref="AB16">_xlfn.XLOOKUP(1,($BB$5:$BB$52="E")*($BL$5:$BL$52=1),$BG$5:$BG$52,"")</f>
        <v>0</v>
      </c>
      <c r="AC16" s="12" cm="1">
        <f t="array" ref="AC16">_xlfn.XLOOKUP(1,($BB$5:$BB$52="E")*($BL$5:$BL$52=1),$BH$5:$BH$52,"")</f>
        <v>0</v>
      </c>
      <c r="AD16" s="12" cm="1">
        <f t="array" ref="AD16">_xlfn.XLOOKUP(1,($BB$5:$BB$52="E")*($BL$5:$BL$52=1),$BI$5:$BI$52,"")</f>
        <v>0</v>
      </c>
      <c r="AE16" s="12" cm="1">
        <f t="array" ref="AE16">_xlfn.XLOOKUP(1,($BB$5:$BB$52="E")*($BL$5:$BL$52=1),$BJ$5:$BJ$52,"")</f>
        <v>0</v>
      </c>
      <c r="AF16" s="12" cm="1">
        <f t="array" ref="AF16">_xlfn.XLOOKUP(1,($BB$5:$BB$52="E")*($BL$5:$BL$52=1),$BK$5:$BK$52,"")</f>
        <v>0</v>
      </c>
      <c r="AH16" s="12" t="str" cm="1">
        <f t="array" ref="AH16">_xlfn.XLOOKUP(1,($BB$5:$BB$52="F")*($BL$5:$BL$52=1),$BC$5:$BC$52,"")</f>
        <v>Japan (Tina)</v>
      </c>
      <c r="AI16" s="12" cm="1">
        <f t="array" ref="AI16">_xlfn.XLOOKUP(1,($BB$5:$BB$52="F")*($BL$5:$BL$52=1),$BD$5:$BD$52,"")</f>
        <v>0</v>
      </c>
      <c r="AJ16" s="12" cm="1">
        <f t="array" ref="AJ16">_xlfn.XLOOKUP(1,($BB$5:$BB$52="F")*($BL$5:$BL$52=1),$BE$5:$BE$52,"")</f>
        <v>0</v>
      </c>
      <c r="AK16" s="12" cm="1">
        <f t="array" ref="AK16">_xlfn.XLOOKUP(1,($BB$5:$BB$52="F")*($BL$5:$BL$52=1),$BF$5:$BF$52,"")</f>
        <v>0</v>
      </c>
      <c r="AL16" s="12" cm="1">
        <f t="array" ref="AL16">_xlfn.XLOOKUP(1,($BB$5:$BB$52="F")*($BL$5:$BL$52=1),$BG$5:$BG$52,"")</f>
        <v>0</v>
      </c>
      <c r="AM16" s="12" cm="1">
        <f t="array" ref="AM16">_xlfn.XLOOKUP(1,($BB$5:$BB$52="F")*($BL$5:$BL$52=1),$BH$5:$BH$52,"")</f>
        <v>0</v>
      </c>
      <c r="AN16" s="12" cm="1">
        <f t="array" ref="AN16">_xlfn.XLOOKUP(1,($BB$5:$BB$52="F")*($BL$5:$BL$52=1),$BI$5:$BI$52,"")</f>
        <v>0</v>
      </c>
      <c r="AO16" s="12" cm="1">
        <f t="array" ref="AO16">_xlfn.XLOOKUP(1,($BB$5:$BB$52="F")*($BL$5:$BL$52=1),$BJ$5:$BJ$52,"")</f>
        <v>0</v>
      </c>
      <c r="AP16" s="12" cm="1">
        <f t="array" ref="AP16">_xlfn.XLOOKUP(1,($BB$5:$BB$52="F")*($BL$5:$BL$52=1),$BK$5:$BK$52,"")</f>
        <v>0</v>
      </c>
      <c r="BB16" t="s">
        <v>64</v>
      </c>
      <c r="BC16" t="s">
        <v>295</v>
      </c>
      <c r="BD16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16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16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16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16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16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16">
        <f>GroupStandings[[#This Row],[GF]]-GroupStandings[[#This Row],[GA]]</f>
        <v>0</v>
      </c>
      <c r="BK16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16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4</v>
      </c>
    </row>
    <row r="17" spans="1:64" ht="16" x14ac:dyDescent="0.2">
      <c r="A17" s="29" t="s">
        <v>64</v>
      </c>
      <c r="B17" s="12" t="s">
        <v>75</v>
      </c>
      <c r="C17" s="22" t="s">
        <v>65</v>
      </c>
      <c r="D17" s="22" t="s">
        <v>70</v>
      </c>
      <c r="E17" s="18"/>
      <c r="F17" s="18"/>
      <c r="G17" s="12" t="str">
        <f>IF(AND(GroupFixtures[[#This Row],[Home Score]]&lt;&gt;"",GroupFixtures[[#This Row],[Away Score]]&lt;&gt;""),1,"")</f>
        <v/>
      </c>
      <c r="H17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17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17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17" s="12" t="s">
        <v>220</v>
      </c>
      <c r="L17" s="38">
        <v>0.95833333333333337</v>
      </c>
      <c r="N17" s="12" t="str" cm="1">
        <f t="array" ref="N17">_xlfn.XLOOKUP(1,($BB$5:$BB$52="D")*($BL$5:$BL$52=2),$BC$5:$BC$52,"")</f>
        <v>Paraguay (Lucy)</v>
      </c>
      <c r="O17" s="12" cm="1">
        <f t="array" ref="O17">_xlfn.XLOOKUP(1,($BB$5:$BB$52="D")*($BL$5:$BL$52=2),$BD$5:$BD$52,"")</f>
        <v>0</v>
      </c>
      <c r="P17" s="12" cm="1">
        <f t="array" ref="P17">_xlfn.XLOOKUP(1,($BB$5:$BB$52="D")*($BL$5:$BL$52=2),$BE$5:$BE$52,"")</f>
        <v>0</v>
      </c>
      <c r="Q17" s="12" cm="1">
        <f t="array" ref="Q17">_xlfn.XLOOKUP(1,($BB$5:$BB$52="D")*($BL$5:$BL$52=2),$BF$5:$BF$52,"")</f>
        <v>0</v>
      </c>
      <c r="R17" s="12" cm="1">
        <f t="array" ref="R17">_xlfn.XLOOKUP(1,($BB$5:$BB$52="D")*($BL$5:$BL$52=2),$BG$5:$BG$52,"")</f>
        <v>0</v>
      </c>
      <c r="S17" s="12" cm="1">
        <f t="array" ref="S17">_xlfn.XLOOKUP(1,($BB$5:$BB$52="D")*($BL$5:$BL$52=2),$BH$5:$BH$52,"")</f>
        <v>0</v>
      </c>
      <c r="T17" s="12" cm="1">
        <f t="array" ref="T17">_xlfn.XLOOKUP(1,($BB$5:$BB$52="D")*($BL$5:$BL$52=2),$BI$5:$BI$52,"")</f>
        <v>0</v>
      </c>
      <c r="U17" s="12" cm="1">
        <f t="array" ref="U17">_xlfn.XLOOKUP(1,($BB$5:$BB$52="D")*($BL$5:$BL$52=2),$BJ$5:$BJ$52,"")</f>
        <v>0</v>
      </c>
      <c r="V17" s="12" cm="1">
        <f t="array" ref="V17">_xlfn.XLOOKUP(1,($BB$5:$BB$52="D")*($BL$5:$BL$52=2),$BK$5:$BK$52,"")</f>
        <v>0</v>
      </c>
      <c r="X17" s="12" t="str" cm="1">
        <f t="array" ref="X17">_xlfn.XLOOKUP(1,($BB$5:$BB$52="E")*($BL$5:$BL$52=2),$BC$5:$BC$52,"")</f>
        <v>Curaçao (Rich)</v>
      </c>
      <c r="Y17" s="12" cm="1">
        <f t="array" ref="Y17">_xlfn.XLOOKUP(1,($BB$5:$BB$52="E")*($BL$5:$BL$52=2),$BD$5:$BD$52,"")</f>
        <v>0</v>
      </c>
      <c r="Z17" s="12" cm="1">
        <f t="array" ref="Z17">_xlfn.XLOOKUP(1,($BB$5:$BB$52="E")*($BL$5:$BL$52=2),$BE$5:$BE$52,"")</f>
        <v>0</v>
      </c>
      <c r="AA17" s="12" cm="1">
        <f t="array" ref="AA17">_xlfn.XLOOKUP(1,($BB$5:$BB$52="E")*($BL$5:$BL$52=2),$BF$5:$BF$52,"")</f>
        <v>0</v>
      </c>
      <c r="AB17" s="12" cm="1">
        <f t="array" ref="AB17">_xlfn.XLOOKUP(1,($BB$5:$BB$52="E")*($BL$5:$BL$52=2),$BG$5:$BG$52,"")</f>
        <v>0</v>
      </c>
      <c r="AC17" s="12" cm="1">
        <f t="array" ref="AC17">_xlfn.XLOOKUP(1,($BB$5:$BB$52="E")*($BL$5:$BL$52=2),$BH$5:$BH$52,"")</f>
        <v>0</v>
      </c>
      <c r="AD17" s="12" cm="1">
        <f t="array" ref="AD17">_xlfn.XLOOKUP(1,($BB$5:$BB$52="E")*($BL$5:$BL$52=2),$BI$5:$BI$52,"")</f>
        <v>0</v>
      </c>
      <c r="AE17" s="12" cm="1">
        <f t="array" ref="AE17">_xlfn.XLOOKUP(1,($BB$5:$BB$52="E")*($BL$5:$BL$52=2),$BJ$5:$BJ$52,"")</f>
        <v>0</v>
      </c>
      <c r="AF17" s="12" cm="1">
        <f t="array" ref="AF17">_xlfn.XLOOKUP(1,($BB$5:$BB$52="E")*($BL$5:$BL$52=2),$BK$5:$BK$52,"")</f>
        <v>0</v>
      </c>
      <c r="AH17" s="12" t="str" cm="1">
        <f t="array" ref="AH17">_xlfn.XLOOKUP(1,($BB$5:$BB$52="F")*($BL$5:$BL$52=2),$BC$5:$BC$52,"")</f>
        <v>Netherlands (Jane)</v>
      </c>
      <c r="AI17" s="12" cm="1">
        <f t="array" ref="AI17">_xlfn.XLOOKUP(1,($BB$5:$BB$52="F")*($BL$5:$BL$52=2),$BD$5:$BD$52,"")</f>
        <v>0</v>
      </c>
      <c r="AJ17" s="12" cm="1">
        <f t="array" ref="AJ17">_xlfn.XLOOKUP(1,($BB$5:$BB$52="F")*($BL$5:$BL$52=2),$BE$5:$BE$52,"")</f>
        <v>0</v>
      </c>
      <c r="AK17" s="12" cm="1">
        <f t="array" ref="AK17">_xlfn.XLOOKUP(1,($BB$5:$BB$52="F")*($BL$5:$BL$52=2),$BF$5:$BF$52,"")</f>
        <v>0</v>
      </c>
      <c r="AL17" s="12" cm="1">
        <f t="array" ref="AL17">_xlfn.XLOOKUP(1,($BB$5:$BB$52="F")*($BL$5:$BL$52=2),$BG$5:$BG$52,"")</f>
        <v>0</v>
      </c>
      <c r="AM17" s="12" cm="1">
        <f t="array" ref="AM17">_xlfn.XLOOKUP(1,($BB$5:$BB$52="F")*($BL$5:$BL$52=2),$BH$5:$BH$52,"")</f>
        <v>0</v>
      </c>
      <c r="AN17" s="12" cm="1">
        <f t="array" ref="AN17">_xlfn.XLOOKUP(1,($BB$5:$BB$52="F")*($BL$5:$BL$52=2),$BI$5:$BI$52,"")</f>
        <v>0</v>
      </c>
      <c r="AO17" s="12" cm="1">
        <f t="array" ref="AO17">_xlfn.XLOOKUP(1,($BB$5:$BB$52="F")*($BL$5:$BL$52=2),$BJ$5:$BJ$52,"")</f>
        <v>0</v>
      </c>
      <c r="AP17" s="12" cm="1">
        <f t="array" ref="AP17">_xlfn.XLOOKUP(1,($BB$5:$BB$52="F")*($BL$5:$BL$52=2),$BK$5:$BK$52,"")</f>
        <v>0</v>
      </c>
      <c r="BB17" t="s">
        <v>35</v>
      </c>
      <c r="BC17" t="s">
        <v>251</v>
      </c>
      <c r="BD17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17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17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17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17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17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17">
        <f>GroupStandings[[#This Row],[GF]]-GroupStandings[[#This Row],[GA]]</f>
        <v>0</v>
      </c>
      <c r="BK17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17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4</v>
      </c>
    </row>
    <row r="18" spans="1:64" ht="16" x14ac:dyDescent="0.2">
      <c r="A18" s="29" t="s">
        <v>64</v>
      </c>
      <c r="B18" s="12" t="s">
        <v>77</v>
      </c>
      <c r="C18" s="22" t="s">
        <v>72</v>
      </c>
      <c r="D18" s="22" t="s">
        <v>74</v>
      </c>
      <c r="E18" s="18"/>
      <c r="F18" s="18"/>
      <c r="G18" s="12" t="str">
        <f>IF(AND(GroupFixtures[[#This Row],[Home Score]]&lt;&gt;"",GroupFixtures[[#This Row],[Away Score]]&lt;&gt;""),1,"")</f>
        <v/>
      </c>
      <c r="H18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18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18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18" s="12" t="s">
        <v>222</v>
      </c>
      <c r="L18" s="38">
        <v>8.3333333333333329E-2</v>
      </c>
      <c r="N18" s="12" t="str" cm="1">
        <f t="array" ref="N18">_xlfn.XLOOKUP(1,($BB$5:$BB$52="D")*($BL$5:$BL$52=3),$BC$5:$BC$52,"")</f>
        <v>Türkiye (Caoimhe)</v>
      </c>
      <c r="O18" s="12" cm="1">
        <f t="array" ref="O18">_xlfn.XLOOKUP(1,($BB$5:$BB$52="D")*($BL$5:$BL$52=3),$BD$5:$BD$52,"")</f>
        <v>0</v>
      </c>
      <c r="P18" s="12" cm="1">
        <f t="array" ref="P18">_xlfn.XLOOKUP(1,($BB$5:$BB$52="D")*($BL$5:$BL$52=3),$BE$5:$BE$52,"")</f>
        <v>0</v>
      </c>
      <c r="Q18" s="12" cm="1">
        <f t="array" ref="Q18">_xlfn.XLOOKUP(1,($BB$5:$BB$52="D")*($BL$5:$BL$52=3),$BF$5:$BF$52,"")</f>
        <v>0</v>
      </c>
      <c r="R18" s="12" cm="1">
        <f t="array" ref="R18">_xlfn.XLOOKUP(1,($BB$5:$BB$52="D")*($BL$5:$BL$52=3),$BG$5:$BG$52,"")</f>
        <v>0</v>
      </c>
      <c r="S18" s="12" cm="1">
        <f t="array" ref="S18">_xlfn.XLOOKUP(1,($BB$5:$BB$52="D")*($BL$5:$BL$52=3),$BH$5:$BH$52,"")</f>
        <v>0</v>
      </c>
      <c r="T18" s="12" cm="1">
        <f t="array" ref="T18">_xlfn.XLOOKUP(1,($BB$5:$BB$52="D")*($BL$5:$BL$52=3),$BI$5:$BI$52,"")</f>
        <v>0</v>
      </c>
      <c r="U18" s="12" cm="1">
        <f t="array" ref="U18">_xlfn.XLOOKUP(1,($BB$5:$BB$52="D")*($BL$5:$BL$52=3),$BJ$5:$BJ$52,"")</f>
        <v>0</v>
      </c>
      <c r="V18" s="12" cm="1">
        <f t="array" ref="V18">_xlfn.XLOOKUP(1,($BB$5:$BB$52="D")*($BL$5:$BL$52=3),$BK$5:$BK$52,"")</f>
        <v>0</v>
      </c>
      <c r="X18" s="12" t="str" cm="1">
        <f t="array" ref="X18">_xlfn.XLOOKUP(1,($BB$5:$BB$52="E")*($BL$5:$BL$52=3),$BC$5:$BC$52,"")</f>
        <v>Ecuador (Matt M)</v>
      </c>
      <c r="Y18" s="12" cm="1">
        <f t="array" ref="Y18">_xlfn.XLOOKUP(1,($BB$5:$BB$52="E")*($BL$5:$BL$52=3),$BD$5:$BD$52,"")</f>
        <v>0</v>
      </c>
      <c r="Z18" s="12" cm="1">
        <f t="array" ref="Z18">_xlfn.XLOOKUP(1,($BB$5:$BB$52="E")*($BL$5:$BL$52=3),$BE$5:$BE$52,"")</f>
        <v>0</v>
      </c>
      <c r="AA18" s="12" cm="1">
        <f t="array" ref="AA18">_xlfn.XLOOKUP(1,($BB$5:$BB$52="E")*($BL$5:$BL$52=3),$BF$5:$BF$52,"")</f>
        <v>0</v>
      </c>
      <c r="AB18" s="12" cm="1">
        <f t="array" ref="AB18">_xlfn.XLOOKUP(1,($BB$5:$BB$52="E")*($BL$5:$BL$52=3),$BG$5:$BG$52,"")</f>
        <v>0</v>
      </c>
      <c r="AC18" s="12" cm="1">
        <f t="array" ref="AC18">_xlfn.XLOOKUP(1,($BB$5:$BB$52="E")*($BL$5:$BL$52=3),$BH$5:$BH$52,"")</f>
        <v>0</v>
      </c>
      <c r="AD18" s="12" cm="1">
        <f t="array" ref="AD18">_xlfn.XLOOKUP(1,($BB$5:$BB$52="E")*($BL$5:$BL$52=3),$BI$5:$BI$52,"")</f>
        <v>0</v>
      </c>
      <c r="AE18" s="12" cm="1">
        <f t="array" ref="AE18">_xlfn.XLOOKUP(1,($BB$5:$BB$52="E")*($BL$5:$BL$52=3),$BJ$5:$BJ$52,"")</f>
        <v>0</v>
      </c>
      <c r="AF18" s="12" cm="1">
        <f t="array" ref="AF18">_xlfn.XLOOKUP(1,($BB$5:$BB$52="E")*($BL$5:$BL$52=3),$BK$5:$BK$52,"")</f>
        <v>0</v>
      </c>
      <c r="AH18" s="12" t="str" cm="1">
        <f t="array" ref="AH18">_xlfn.XLOOKUP(1,($BB$5:$BB$52="F")*($BL$5:$BL$52=3),$BC$5:$BC$52,"")</f>
        <v>Sweden (Tom)</v>
      </c>
      <c r="AI18" s="12" cm="1">
        <f t="array" ref="AI18">_xlfn.XLOOKUP(1,($BB$5:$BB$52="F")*($BL$5:$BL$52=3),$BD$5:$BD$52,"")</f>
        <v>0</v>
      </c>
      <c r="AJ18" s="12" cm="1">
        <f t="array" ref="AJ18">_xlfn.XLOOKUP(1,($BB$5:$BB$52="F")*($BL$5:$BL$52=3),$BE$5:$BE$52,"")</f>
        <v>0</v>
      </c>
      <c r="AK18" s="12" cm="1">
        <f t="array" ref="AK18">_xlfn.XLOOKUP(1,($BB$5:$BB$52="F")*($BL$5:$BL$52=3),$BF$5:$BF$52,"")</f>
        <v>0</v>
      </c>
      <c r="AL18" s="12" cm="1">
        <f t="array" ref="AL18">_xlfn.XLOOKUP(1,($BB$5:$BB$52="F")*($BL$5:$BL$52=3),$BG$5:$BG$52,"")</f>
        <v>0</v>
      </c>
      <c r="AM18" s="12" cm="1">
        <f t="array" ref="AM18">_xlfn.XLOOKUP(1,($BB$5:$BB$52="F")*($BL$5:$BL$52=3),$BH$5:$BH$52,"")</f>
        <v>0</v>
      </c>
      <c r="AN18" s="12" cm="1">
        <f t="array" ref="AN18">_xlfn.XLOOKUP(1,($BB$5:$BB$52="F")*($BL$5:$BL$52=3),$BI$5:$BI$52,"")</f>
        <v>0</v>
      </c>
      <c r="AO18" s="12" cm="1">
        <f t="array" ref="AO18">_xlfn.XLOOKUP(1,($BB$5:$BB$52="F")*($BL$5:$BL$52=3),$BJ$5:$BJ$52,"")</f>
        <v>0</v>
      </c>
      <c r="AP18" s="12" cm="1">
        <f t="array" ref="AP18">_xlfn.XLOOKUP(1,($BB$5:$BB$52="F")*($BL$5:$BL$52=3),$BK$5:$BK$52,"")</f>
        <v>0</v>
      </c>
      <c r="BB18" t="s">
        <v>35</v>
      </c>
      <c r="BC18" t="s">
        <v>252</v>
      </c>
      <c r="BD18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18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18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18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18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18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18">
        <f>GroupStandings[[#This Row],[GF]]-GroupStandings[[#This Row],[GA]]</f>
        <v>0</v>
      </c>
      <c r="BK18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18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2</v>
      </c>
    </row>
    <row r="19" spans="1:64" ht="16" x14ac:dyDescent="0.2">
      <c r="A19" s="29" t="s">
        <v>64</v>
      </c>
      <c r="B19" s="12" t="s">
        <v>79</v>
      </c>
      <c r="C19" s="22" t="s">
        <v>65</v>
      </c>
      <c r="D19" s="22" t="s">
        <v>72</v>
      </c>
      <c r="E19" s="18"/>
      <c r="F19" s="18"/>
      <c r="G19" s="12" t="str">
        <f>IF(AND(GroupFixtures[[#This Row],[Home Score]]&lt;&gt;"",GroupFixtures[[#This Row],[Away Score]]&lt;&gt;""),1,"")</f>
        <v/>
      </c>
      <c r="H19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19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19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19" s="12" t="s">
        <v>223</v>
      </c>
      <c r="L19" s="38">
        <v>6.25E-2</v>
      </c>
      <c r="N19" s="12" t="str" cm="1">
        <f t="array" ref="N19">_xlfn.XLOOKUP(1,($BB$5:$BB$52="D")*($BL$5:$BL$52=4),$BC$5:$BC$52,"")</f>
        <v>USA (Lucy)</v>
      </c>
      <c r="O19" s="12" cm="1">
        <f t="array" ref="O19">_xlfn.XLOOKUP(1,($BB$5:$BB$52="D")*($BL$5:$BL$52=4),$BD$5:$BD$52,"")</f>
        <v>0</v>
      </c>
      <c r="P19" s="12" cm="1">
        <f t="array" ref="P19">_xlfn.XLOOKUP(1,($BB$5:$BB$52="D")*($BL$5:$BL$52=4),$BE$5:$BE$52,"")</f>
        <v>0</v>
      </c>
      <c r="Q19" s="12" cm="1">
        <f t="array" ref="Q19">_xlfn.XLOOKUP(1,($BB$5:$BB$52="D")*($BL$5:$BL$52=4),$BF$5:$BF$52,"")</f>
        <v>0</v>
      </c>
      <c r="R19" s="12" cm="1">
        <f t="array" ref="R19">_xlfn.XLOOKUP(1,($BB$5:$BB$52="D")*($BL$5:$BL$52=4),$BG$5:$BG$52,"")</f>
        <v>0</v>
      </c>
      <c r="S19" s="12" cm="1">
        <f t="array" ref="S19">_xlfn.XLOOKUP(1,($BB$5:$BB$52="D")*($BL$5:$BL$52=4),$BH$5:$BH$52,"")</f>
        <v>0</v>
      </c>
      <c r="T19" s="12" cm="1">
        <f t="array" ref="T19">_xlfn.XLOOKUP(1,($BB$5:$BB$52="D")*($BL$5:$BL$52=4),$BI$5:$BI$52,"")</f>
        <v>0</v>
      </c>
      <c r="U19" s="12" cm="1">
        <f t="array" ref="U19">_xlfn.XLOOKUP(1,($BB$5:$BB$52="D")*($BL$5:$BL$52=4),$BJ$5:$BJ$52,"")</f>
        <v>0</v>
      </c>
      <c r="V19" s="12" cm="1">
        <f t="array" ref="V19">_xlfn.XLOOKUP(1,($BB$5:$BB$52="D")*($BL$5:$BL$52=4),$BK$5:$BK$52,"")</f>
        <v>0</v>
      </c>
      <c r="X19" s="12" t="str" cm="1">
        <f t="array" ref="X19">_xlfn.XLOOKUP(1,($BB$5:$BB$52="E")*($BL$5:$BL$52=4),$BC$5:$BC$52,"")</f>
        <v>Germany (Ben)</v>
      </c>
      <c r="Y19" s="12" cm="1">
        <f t="array" ref="Y19">_xlfn.XLOOKUP(1,($BB$5:$BB$52="E")*($BL$5:$BL$52=4),$BD$5:$BD$52,"")</f>
        <v>0</v>
      </c>
      <c r="Z19" s="12" cm="1">
        <f t="array" ref="Z19">_xlfn.XLOOKUP(1,($BB$5:$BB$52="E")*($BL$5:$BL$52=4),$BE$5:$BE$52,"")</f>
        <v>0</v>
      </c>
      <c r="AA19" s="12" cm="1">
        <f t="array" ref="AA19">_xlfn.XLOOKUP(1,($BB$5:$BB$52="E")*($BL$5:$BL$52=4),$BF$5:$BF$52,"")</f>
        <v>0</v>
      </c>
      <c r="AB19" s="12" cm="1">
        <f t="array" ref="AB19">_xlfn.XLOOKUP(1,($BB$5:$BB$52="E")*($BL$5:$BL$52=4),$BG$5:$BG$52,"")</f>
        <v>0</v>
      </c>
      <c r="AC19" s="12" cm="1">
        <f t="array" ref="AC19">_xlfn.XLOOKUP(1,($BB$5:$BB$52="E")*($BL$5:$BL$52=4),$BH$5:$BH$52,"")</f>
        <v>0</v>
      </c>
      <c r="AD19" s="12" cm="1">
        <f t="array" ref="AD19">_xlfn.XLOOKUP(1,($BB$5:$BB$52="E")*($BL$5:$BL$52=4),$BI$5:$BI$52,"")</f>
        <v>0</v>
      </c>
      <c r="AE19" s="12" cm="1">
        <f t="array" ref="AE19">_xlfn.XLOOKUP(1,($BB$5:$BB$52="E")*($BL$5:$BL$52=4),$BJ$5:$BJ$52,"")</f>
        <v>0</v>
      </c>
      <c r="AF19" s="12" cm="1">
        <f t="array" ref="AF19">_xlfn.XLOOKUP(1,($BB$5:$BB$52="E")*($BL$5:$BL$52=4),$BK$5:$BK$52,"")</f>
        <v>0</v>
      </c>
      <c r="AH19" s="12" t="str" cm="1">
        <f t="array" ref="AH19">_xlfn.XLOOKUP(1,($BB$5:$BB$52="F")*($BL$5:$BL$52=4),$BC$5:$BC$52,"")</f>
        <v>Tunisia (Rich)</v>
      </c>
      <c r="AI19" s="12" cm="1">
        <f t="array" ref="AI19">_xlfn.XLOOKUP(1,($BB$5:$BB$52="F")*($BL$5:$BL$52=4),$BD$5:$BD$52,"")</f>
        <v>0</v>
      </c>
      <c r="AJ19" s="12" cm="1">
        <f t="array" ref="AJ19">_xlfn.XLOOKUP(1,($BB$5:$BB$52="F")*($BL$5:$BL$52=4),$BE$5:$BE$52,"")</f>
        <v>0</v>
      </c>
      <c r="AK19" s="12" cm="1">
        <f t="array" ref="AK19">_xlfn.XLOOKUP(1,($BB$5:$BB$52="F")*($BL$5:$BL$52=4),$BF$5:$BF$52,"")</f>
        <v>0</v>
      </c>
      <c r="AL19" s="12" cm="1">
        <f t="array" ref="AL19">_xlfn.XLOOKUP(1,($BB$5:$BB$52="F")*($BL$5:$BL$52=4),$BG$5:$BG$52,"")</f>
        <v>0</v>
      </c>
      <c r="AM19" s="12" cm="1">
        <f t="array" ref="AM19">_xlfn.XLOOKUP(1,($BB$5:$BB$52="F")*($BL$5:$BL$52=4),$BH$5:$BH$52,"")</f>
        <v>0</v>
      </c>
      <c r="AN19" s="12" cm="1">
        <f t="array" ref="AN19">_xlfn.XLOOKUP(1,($BB$5:$BB$52="F")*($BL$5:$BL$52=4),$BI$5:$BI$52,"")</f>
        <v>0</v>
      </c>
      <c r="AO19" s="12" cm="1">
        <f t="array" ref="AO19">_xlfn.XLOOKUP(1,($BB$5:$BB$52="F")*($BL$5:$BL$52=4),$BJ$5:$BJ$52,"")</f>
        <v>0</v>
      </c>
      <c r="AP19" s="12" cm="1">
        <f t="array" ref="AP19">_xlfn.XLOOKUP(1,($BB$5:$BB$52="F")*($BL$5:$BL$52=4),$BK$5:$BK$52,"")</f>
        <v>0</v>
      </c>
      <c r="BB19" t="s">
        <v>35</v>
      </c>
      <c r="BC19" t="s">
        <v>258</v>
      </c>
      <c r="BD19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19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19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19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19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19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19">
        <f>GroupStandings[[#This Row],[GF]]-GroupStandings[[#This Row],[GA]]</f>
        <v>0</v>
      </c>
      <c r="BK19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19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1</v>
      </c>
    </row>
    <row r="20" spans="1:64" ht="16" x14ac:dyDescent="0.2">
      <c r="A20" s="29" t="s">
        <v>64</v>
      </c>
      <c r="B20" s="12" t="s">
        <v>81</v>
      </c>
      <c r="C20" s="22" t="s">
        <v>74</v>
      </c>
      <c r="D20" s="22" t="s">
        <v>70</v>
      </c>
      <c r="E20" s="18"/>
      <c r="F20" s="18"/>
      <c r="G20" s="12" t="str">
        <f>IF(AND(GroupFixtures[[#This Row],[Home Score]]&lt;&gt;"",GroupFixtures[[#This Row],[Away Score]]&lt;&gt;""),1,"")</f>
        <v/>
      </c>
      <c r="H20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20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20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20" s="12" t="s">
        <v>216</v>
      </c>
      <c r="L20" s="38">
        <v>0.95833333333333337</v>
      </c>
      <c r="BB20" t="s">
        <v>35</v>
      </c>
      <c r="BC20" t="s">
        <v>259</v>
      </c>
      <c r="BD20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20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20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20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20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20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20">
        <f>GroupStandings[[#This Row],[GF]]-GroupStandings[[#This Row],[GA]]</f>
        <v>0</v>
      </c>
      <c r="BK20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20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3</v>
      </c>
    </row>
    <row r="21" spans="1:64" ht="16" x14ac:dyDescent="0.2">
      <c r="A21" s="29" t="s">
        <v>64</v>
      </c>
      <c r="B21" s="12" t="s">
        <v>83</v>
      </c>
      <c r="C21" s="22" t="s">
        <v>74</v>
      </c>
      <c r="D21" s="22" t="s">
        <v>65</v>
      </c>
      <c r="E21" s="18"/>
      <c r="F21" s="18"/>
      <c r="G21" s="12" t="str">
        <f>IF(AND(GroupFixtures[[#This Row],[Home Score]]&lt;&gt;"",GroupFixtures[[#This Row],[Away Score]]&lt;&gt;""),1,"")</f>
        <v/>
      </c>
      <c r="H21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21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21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21" s="12" t="s">
        <v>221</v>
      </c>
      <c r="L21" s="38">
        <v>0.95833333333333337</v>
      </c>
      <c r="BB21" t="s">
        <v>84</v>
      </c>
      <c r="BC21" t="s">
        <v>255</v>
      </c>
      <c r="BD21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21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21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21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21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21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21">
        <f>GroupStandings[[#This Row],[GF]]-GroupStandings[[#This Row],[GA]]</f>
        <v>0</v>
      </c>
      <c r="BK21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21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4</v>
      </c>
    </row>
    <row r="22" spans="1:64" ht="16" x14ac:dyDescent="0.2">
      <c r="A22" s="29" t="s">
        <v>64</v>
      </c>
      <c r="B22" s="12" t="s">
        <v>86</v>
      </c>
      <c r="C22" s="22" t="s">
        <v>70</v>
      </c>
      <c r="D22" s="22" t="s">
        <v>72</v>
      </c>
      <c r="E22" s="18"/>
      <c r="F22" s="18"/>
      <c r="G22" s="12" t="str">
        <f>IF(AND(GroupFixtures[[#This Row],[Home Score]]&lt;&gt;"",GroupFixtures[[#This Row],[Away Score]]&lt;&gt;""),1,"")</f>
        <v/>
      </c>
      <c r="H22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22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22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22" s="12" t="s">
        <v>221</v>
      </c>
      <c r="L22" s="38">
        <v>0.95833333333333337</v>
      </c>
      <c r="N22" s="11" t="s">
        <v>87</v>
      </c>
      <c r="O22" s="11"/>
      <c r="P22" s="11"/>
      <c r="Q22" s="11"/>
      <c r="R22" s="11"/>
      <c r="S22" s="11"/>
      <c r="T22" s="11"/>
      <c r="U22" s="11"/>
      <c r="V22" s="11"/>
      <c r="X22" s="11" t="s">
        <v>88</v>
      </c>
      <c r="Y22" s="11"/>
      <c r="Z22" s="11"/>
      <c r="AA22" s="11"/>
      <c r="AB22" s="11"/>
      <c r="AC22" s="11"/>
      <c r="AD22" s="11"/>
      <c r="AE22" s="11"/>
      <c r="AF22" s="11"/>
      <c r="AH22" s="11" t="s">
        <v>89</v>
      </c>
      <c r="AI22" s="11"/>
      <c r="AJ22" s="11"/>
      <c r="AK22" s="11"/>
      <c r="AL22" s="11"/>
      <c r="AM22" s="11"/>
      <c r="AN22" s="11"/>
      <c r="AO22" s="11"/>
      <c r="AP22" s="11"/>
      <c r="BB22" t="s">
        <v>84</v>
      </c>
      <c r="BC22" t="s">
        <v>285</v>
      </c>
      <c r="BD22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22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22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22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22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22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22">
        <f>GroupStandings[[#This Row],[GF]]-GroupStandings[[#This Row],[GA]]</f>
        <v>0</v>
      </c>
      <c r="BK22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22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2</v>
      </c>
    </row>
    <row r="23" spans="1:64" ht="16" x14ac:dyDescent="0.2">
      <c r="A23" s="29" t="s">
        <v>35</v>
      </c>
      <c r="B23" s="12" t="s">
        <v>91</v>
      </c>
      <c r="C23" s="22" t="s">
        <v>76</v>
      </c>
      <c r="D23" s="22" t="s">
        <v>78</v>
      </c>
      <c r="E23" s="18"/>
      <c r="F23" s="18"/>
      <c r="G23" s="12" t="str">
        <f>IF(AND(GroupFixtures[[#This Row],[Home Score]]&lt;&gt;"",GroupFixtures[[#This Row],[Away Score]]&lt;&gt;""),1,"")</f>
        <v/>
      </c>
      <c r="H23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23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23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23" s="12" t="s">
        <v>220</v>
      </c>
      <c r="L23" s="38">
        <v>8.3333333333333329E-2</v>
      </c>
      <c r="N23" s="21" t="s">
        <v>1</v>
      </c>
      <c r="O23" s="21" t="s">
        <v>33</v>
      </c>
      <c r="P23" s="21" t="s">
        <v>34</v>
      </c>
      <c r="Q23" s="21" t="s">
        <v>35</v>
      </c>
      <c r="R23" s="21" t="s">
        <v>36</v>
      </c>
      <c r="S23" s="21" t="s">
        <v>37</v>
      </c>
      <c r="T23" s="21" t="s">
        <v>38</v>
      </c>
      <c r="U23" s="21" t="s">
        <v>39</v>
      </c>
      <c r="V23" s="21" t="s">
        <v>40</v>
      </c>
      <c r="X23" s="21" t="s">
        <v>1</v>
      </c>
      <c r="Y23" s="21" t="s">
        <v>33</v>
      </c>
      <c r="Z23" s="21" t="s">
        <v>34</v>
      </c>
      <c r="AA23" s="21" t="s">
        <v>35</v>
      </c>
      <c r="AB23" s="21" t="s">
        <v>36</v>
      </c>
      <c r="AC23" s="21" t="s">
        <v>37</v>
      </c>
      <c r="AD23" s="21" t="s">
        <v>38</v>
      </c>
      <c r="AE23" s="21" t="s">
        <v>39</v>
      </c>
      <c r="AF23" s="21" t="s">
        <v>40</v>
      </c>
      <c r="AH23" s="21" t="s">
        <v>1</v>
      </c>
      <c r="AI23" s="21" t="s">
        <v>33</v>
      </c>
      <c r="AJ23" s="21" t="s">
        <v>34</v>
      </c>
      <c r="AK23" s="21" t="s">
        <v>35</v>
      </c>
      <c r="AL23" s="21" t="s">
        <v>36</v>
      </c>
      <c r="AM23" s="21" t="s">
        <v>37</v>
      </c>
      <c r="AN23" s="21" t="s">
        <v>38</v>
      </c>
      <c r="AO23" s="21" t="s">
        <v>39</v>
      </c>
      <c r="AP23" s="21" t="s">
        <v>40</v>
      </c>
      <c r="BB23" t="s">
        <v>84</v>
      </c>
      <c r="BC23" t="s">
        <v>273</v>
      </c>
      <c r="BD23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23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23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23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23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23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23">
        <f>GroupStandings[[#This Row],[GF]]-GroupStandings[[#This Row],[GA]]</f>
        <v>0</v>
      </c>
      <c r="BK23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23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1</v>
      </c>
    </row>
    <row r="24" spans="1:64" ht="16" x14ac:dyDescent="0.2">
      <c r="A24" s="29" t="s">
        <v>35</v>
      </c>
      <c r="B24" s="12" t="s">
        <v>93</v>
      </c>
      <c r="C24" s="22" t="s">
        <v>80</v>
      </c>
      <c r="D24" s="22" t="s">
        <v>82</v>
      </c>
      <c r="E24" s="18"/>
      <c r="F24" s="18"/>
      <c r="G24" s="12" t="str">
        <f>IF(AND(GroupFixtures[[#This Row],[Home Score]]&lt;&gt;"",GroupFixtures[[#This Row],[Away Score]]&lt;&gt;""),1,"")</f>
        <v/>
      </c>
      <c r="H24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24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24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24" s="12" t="s">
        <v>222</v>
      </c>
      <c r="L24" s="38">
        <v>0.20833333333333334</v>
      </c>
      <c r="N24" s="12" t="str" cm="1">
        <f t="array" ref="N24">_xlfn.XLOOKUP(1,($BB$5:$BB$52="G")*($BL$5:$BL$52=1),$BC$5:$BC$52,"")</f>
        <v>Belgium (Matt P)</v>
      </c>
      <c r="O24" s="12" cm="1">
        <f t="array" ref="O24">_xlfn.XLOOKUP(1,($BB$5:$BB$52="G")*($BL$5:$BL$52=1),$BD$5:$BD$52,"")</f>
        <v>0</v>
      </c>
      <c r="P24" s="12" cm="1">
        <f t="array" ref="P24">_xlfn.XLOOKUP(1,($BB$5:$BB$52="G")*($BL$5:$BL$52=1),$BE$5:$BE$52,"")</f>
        <v>0</v>
      </c>
      <c r="Q24" s="12" cm="1">
        <f t="array" ref="Q24">_xlfn.XLOOKUP(1,($BB$5:$BB$52="G")*($BL$5:$BL$52=1),$BF$5:$BF$52,"")</f>
        <v>0</v>
      </c>
      <c r="R24" s="12" cm="1">
        <f t="array" ref="R24">_xlfn.XLOOKUP(1,($BB$5:$BB$52="G")*($BL$5:$BL$52=1),$BG$5:$BG$52,"")</f>
        <v>0</v>
      </c>
      <c r="S24" s="12" cm="1">
        <f t="array" ref="S24">_xlfn.XLOOKUP(1,($BB$5:$BB$52="G")*($BL$5:$BL$52=1),$BH$5:$BH$52,"")</f>
        <v>0</v>
      </c>
      <c r="T24" s="12" cm="1">
        <f t="array" ref="T24">_xlfn.XLOOKUP(1,($BB$5:$BB$52="G")*($BL$5:$BL$52=1),$BI$5:$BI$52,"")</f>
        <v>0</v>
      </c>
      <c r="U24" s="12" cm="1">
        <f t="array" ref="U24">_xlfn.XLOOKUP(1,($BB$5:$BB$52="G")*($BL$5:$BL$52=1),$BJ$5:$BJ$52,"")</f>
        <v>0</v>
      </c>
      <c r="V24" s="12" cm="1">
        <f t="array" ref="V24">_xlfn.XLOOKUP(1,($BB$5:$BB$52="G")*($BL$5:$BL$52=1),$BK$5:$BK$52,"")</f>
        <v>0</v>
      </c>
      <c r="X24" s="12" t="str" cm="1">
        <f t="array" ref="X24">_xlfn.XLOOKUP(1,($BB$5:$BB$52="H")*($BL$5:$BL$52=1),$BC$5:$BC$52,"")</f>
        <v>Cabo Verde (Div)</v>
      </c>
      <c r="Y24" s="12" cm="1">
        <f t="array" ref="Y24">_xlfn.XLOOKUP(1,($BB$5:$BB$52="H")*($BL$5:$BL$52=1),$BD$5:$BD$52,"")</f>
        <v>0</v>
      </c>
      <c r="Z24" s="12" cm="1">
        <f t="array" ref="Z24">_xlfn.XLOOKUP(1,($BB$5:$BB$52="H")*($BL$5:$BL$52=1),$BE$5:$BE$52,"")</f>
        <v>0</v>
      </c>
      <c r="AA24" s="12" cm="1">
        <f t="array" ref="AA24">_xlfn.XLOOKUP(1,($BB$5:$BB$52="H")*($BL$5:$BL$52=1),$BF$5:$BF$52,"")</f>
        <v>0</v>
      </c>
      <c r="AB24" s="12" cm="1">
        <f t="array" ref="AB24">_xlfn.XLOOKUP(1,($BB$5:$BB$52="H")*($BL$5:$BL$52=1),$BG$5:$BG$52,"")</f>
        <v>0</v>
      </c>
      <c r="AC24" s="12" cm="1">
        <f t="array" ref="AC24">_xlfn.XLOOKUP(1,($BB$5:$BB$52="H")*($BL$5:$BL$52=1),$BH$5:$BH$52,"")</f>
        <v>0</v>
      </c>
      <c r="AD24" s="12" cm="1">
        <f t="array" ref="AD24">_xlfn.XLOOKUP(1,($BB$5:$BB$52="H")*($BL$5:$BL$52=1),$BI$5:$BI$52,"")</f>
        <v>0</v>
      </c>
      <c r="AE24" s="12" cm="1">
        <f t="array" ref="AE24">_xlfn.XLOOKUP(1,($BB$5:$BB$52="H")*($BL$5:$BL$52=1),$BJ$5:$BJ$52,"")</f>
        <v>0</v>
      </c>
      <c r="AF24" s="12" cm="1">
        <f t="array" ref="AF24">_xlfn.XLOOKUP(1,($BB$5:$BB$52="H")*($BL$5:$BL$52=1),$BK$5:$BK$52,"")</f>
        <v>0</v>
      </c>
      <c r="AH24" s="12" t="str" cm="1">
        <f t="array" ref="AH24">_xlfn.XLOOKUP(1,($BB$5:$BB$52="I")*($BL$5:$BL$52=1),$BC$5:$BC$52,"")</f>
        <v>France (Tom)</v>
      </c>
      <c r="AI24" s="12" cm="1">
        <f t="array" ref="AI24">_xlfn.XLOOKUP(1,($BB$5:$BB$52="I")*($BL$5:$BL$52=1),$BD$5:$BD$52,"")</f>
        <v>0</v>
      </c>
      <c r="AJ24" s="12" cm="1">
        <f t="array" ref="AJ24">_xlfn.XLOOKUP(1,($BB$5:$BB$52="I")*($BL$5:$BL$52=1),$BE$5:$BE$52,"")</f>
        <v>0</v>
      </c>
      <c r="AK24" s="12" cm="1">
        <f t="array" ref="AK24">_xlfn.XLOOKUP(1,($BB$5:$BB$52="I")*($BL$5:$BL$52=1),$BF$5:$BF$52,"")</f>
        <v>0</v>
      </c>
      <c r="AL24" s="12" cm="1">
        <f t="array" ref="AL24">_xlfn.XLOOKUP(1,($BB$5:$BB$52="I")*($BL$5:$BL$52=1),$BG$5:$BG$52,"")</f>
        <v>0</v>
      </c>
      <c r="AM24" s="12" cm="1">
        <f t="array" ref="AM24">_xlfn.XLOOKUP(1,($BB$5:$BB$52="I")*($BL$5:$BL$52=1),$BH$5:$BH$52,"")</f>
        <v>0</v>
      </c>
      <c r="AN24" s="12" cm="1">
        <f t="array" ref="AN24">_xlfn.XLOOKUP(1,($BB$5:$BB$52="I")*($BL$5:$BL$52=1),$BI$5:$BI$52,"")</f>
        <v>0</v>
      </c>
      <c r="AO24" s="12" cm="1">
        <f t="array" ref="AO24">_xlfn.XLOOKUP(1,($BB$5:$BB$52="I")*($BL$5:$BL$52=1),$BJ$5:$BJ$52,"")</f>
        <v>0</v>
      </c>
      <c r="AP24" s="12" cm="1">
        <f t="array" ref="AP24">_xlfn.XLOOKUP(1,($BB$5:$BB$52="I")*($BL$5:$BL$52=1),$BK$5:$BK$52,"")</f>
        <v>0</v>
      </c>
      <c r="BB24" t="s">
        <v>84</v>
      </c>
      <c r="BC24" t="s">
        <v>274</v>
      </c>
      <c r="BD24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24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24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24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24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24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24">
        <f>GroupStandings[[#This Row],[GF]]-GroupStandings[[#This Row],[GA]]</f>
        <v>0</v>
      </c>
      <c r="BK24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24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3</v>
      </c>
    </row>
    <row r="25" spans="1:64" ht="16" x14ac:dyDescent="0.2">
      <c r="A25" s="29" t="s">
        <v>35</v>
      </c>
      <c r="B25" s="12" t="s">
        <v>95</v>
      </c>
      <c r="C25" s="22" t="s">
        <v>76</v>
      </c>
      <c r="D25" s="22" t="s">
        <v>80</v>
      </c>
      <c r="E25" s="18"/>
      <c r="F25" s="18"/>
      <c r="G25" s="12" t="str">
        <f>IF(AND(GroupFixtures[[#This Row],[Home Score]]&lt;&gt;"",GroupFixtures[[#This Row],[Away Score]]&lt;&gt;""),1,"")</f>
        <v/>
      </c>
      <c r="H25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25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25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25" s="12" t="s">
        <v>216</v>
      </c>
      <c r="L25" s="38">
        <v>0.83333333333333337</v>
      </c>
      <c r="N25" s="12" t="str" cm="1">
        <f t="array" ref="N25">_xlfn.XLOOKUP(1,($BB$5:$BB$52="G")*($BL$5:$BL$52=2),$BC$5:$BC$52,"")</f>
        <v>Egypt (Marija)</v>
      </c>
      <c r="O25" s="12" cm="1">
        <f t="array" ref="O25">_xlfn.XLOOKUP(1,($BB$5:$BB$52="G")*($BL$5:$BL$52=2),$BD$5:$BD$52,"")</f>
        <v>0</v>
      </c>
      <c r="P25" s="12" cm="1">
        <f t="array" ref="P25">_xlfn.XLOOKUP(1,($BB$5:$BB$52="G")*($BL$5:$BL$52=2),$BE$5:$BE$52,"")</f>
        <v>0</v>
      </c>
      <c r="Q25" s="12" cm="1">
        <f t="array" ref="Q25">_xlfn.XLOOKUP(1,($BB$5:$BB$52="G")*($BL$5:$BL$52=2),$BF$5:$BF$52,"")</f>
        <v>0</v>
      </c>
      <c r="R25" s="12" cm="1">
        <f t="array" ref="R25">_xlfn.XLOOKUP(1,($BB$5:$BB$52="G")*($BL$5:$BL$52=2),$BG$5:$BG$52,"")</f>
        <v>0</v>
      </c>
      <c r="S25" s="12" cm="1">
        <f t="array" ref="S25">_xlfn.XLOOKUP(1,($BB$5:$BB$52="G")*($BL$5:$BL$52=2),$BH$5:$BH$52,"")</f>
        <v>0</v>
      </c>
      <c r="T25" s="12" cm="1">
        <f t="array" ref="T25">_xlfn.XLOOKUP(1,($BB$5:$BB$52="G")*($BL$5:$BL$52=2),$BI$5:$BI$52,"")</f>
        <v>0</v>
      </c>
      <c r="U25" s="12" cm="1">
        <f t="array" ref="U25">_xlfn.XLOOKUP(1,($BB$5:$BB$52="G")*($BL$5:$BL$52=2),$BJ$5:$BJ$52,"")</f>
        <v>0</v>
      </c>
      <c r="V25" s="12" cm="1">
        <f t="array" ref="V25">_xlfn.XLOOKUP(1,($BB$5:$BB$52="G")*($BL$5:$BL$52=2),$BK$5:$BK$52,"")</f>
        <v>0</v>
      </c>
      <c r="X25" s="12" t="str" cm="1">
        <f t="array" ref="X25">_xlfn.XLOOKUP(1,($BB$5:$BB$52="H")*($BL$5:$BL$52=2),$BC$5:$BC$52,"")</f>
        <v>Saudi Arabia (Tish)</v>
      </c>
      <c r="Y25" s="12" cm="1">
        <f t="array" ref="Y25">_xlfn.XLOOKUP(1,($BB$5:$BB$52="H")*($BL$5:$BL$52=2),$BD$5:$BD$52,"")</f>
        <v>0</v>
      </c>
      <c r="Z25" s="12" cm="1">
        <f t="array" ref="Z25">_xlfn.XLOOKUP(1,($BB$5:$BB$52="H")*($BL$5:$BL$52=2),$BE$5:$BE$52,"")</f>
        <v>0</v>
      </c>
      <c r="AA25" s="12" cm="1">
        <f t="array" ref="AA25">_xlfn.XLOOKUP(1,($BB$5:$BB$52="H")*($BL$5:$BL$52=2),$BF$5:$BF$52,"")</f>
        <v>0</v>
      </c>
      <c r="AB25" s="12" cm="1">
        <f t="array" ref="AB25">_xlfn.XLOOKUP(1,($BB$5:$BB$52="H")*($BL$5:$BL$52=2),$BG$5:$BG$52,"")</f>
        <v>0</v>
      </c>
      <c r="AC25" s="12" cm="1">
        <f t="array" ref="AC25">_xlfn.XLOOKUP(1,($BB$5:$BB$52="H")*($BL$5:$BL$52=2),$BH$5:$BH$52,"")</f>
        <v>0</v>
      </c>
      <c r="AD25" s="12" cm="1">
        <f t="array" ref="AD25">_xlfn.XLOOKUP(1,($BB$5:$BB$52="H")*($BL$5:$BL$52=2),$BI$5:$BI$52,"")</f>
        <v>0</v>
      </c>
      <c r="AE25" s="12" cm="1">
        <f t="array" ref="AE25">_xlfn.XLOOKUP(1,($BB$5:$BB$52="H")*($BL$5:$BL$52=2),$BJ$5:$BJ$52,"")</f>
        <v>0</v>
      </c>
      <c r="AF25" s="12" cm="1">
        <f t="array" ref="AF25">_xlfn.XLOOKUP(1,($BB$5:$BB$52="H")*($BL$5:$BL$52=2),$BK$5:$BK$52,"")</f>
        <v>0</v>
      </c>
      <c r="AH25" s="12" t="str" cm="1">
        <f t="array" ref="AH25">_xlfn.XLOOKUP(1,($BB$5:$BB$52="I")*($BL$5:$BL$52=2),$BC$5:$BC$52,"")</f>
        <v>Iraq (Scott)</v>
      </c>
      <c r="AI25" s="12" cm="1">
        <f t="array" ref="AI25">_xlfn.XLOOKUP(1,($BB$5:$BB$52="I")*($BL$5:$BL$52=2),$BD$5:$BD$52,"")</f>
        <v>0</v>
      </c>
      <c r="AJ25" s="12" cm="1">
        <f t="array" ref="AJ25">_xlfn.XLOOKUP(1,($BB$5:$BB$52="I")*($BL$5:$BL$52=2),$BE$5:$BE$52,"")</f>
        <v>0</v>
      </c>
      <c r="AK25" s="12" cm="1">
        <f t="array" ref="AK25">_xlfn.XLOOKUP(1,($BB$5:$BB$52="I")*($BL$5:$BL$52=2),$BF$5:$BF$52,"")</f>
        <v>0</v>
      </c>
      <c r="AL25" s="12" cm="1">
        <f t="array" ref="AL25">_xlfn.XLOOKUP(1,($BB$5:$BB$52="I")*($BL$5:$BL$52=2),$BG$5:$BG$52,"")</f>
        <v>0</v>
      </c>
      <c r="AM25" s="12" cm="1">
        <f t="array" ref="AM25">_xlfn.XLOOKUP(1,($BB$5:$BB$52="I")*($BL$5:$BL$52=2),$BH$5:$BH$52,"")</f>
        <v>0</v>
      </c>
      <c r="AN25" s="12" cm="1">
        <f t="array" ref="AN25">_xlfn.XLOOKUP(1,($BB$5:$BB$52="I")*($BL$5:$BL$52=2),$BI$5:$BI$52,"")</f>
        <v>0</v>
      </c>
      <c r="AO25" s="12" cm="1">
        <f t="array" ref="AO25">_xlfn.XLOOKUP(1,($BB$5:$BB$52="I")*($BL$5:$BL$52=2),$BJ$5:$BJ$52,"")</f>
        <v>0</v>
      </c>
      <c r="AP25" s="12" cm="1">
        <f t="array" ref="AP25">_xlfn.XLOOKUP(1,($BB$5:$BB$52="I")*($BL$5:$BL$52=2),$BK$5:$BK$52,"")</f>
        <v>0</v>
      </c>
      <c r="BB25" t="s">
        <v>96</v>
      </c>
      <c r="BC25" t="s">
        <v>264</v>
      </c>
      <c r="BD25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25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25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25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25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25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25">
        <f>GroupStandings[[#This Row],[GF]]-GroupStandings[[#This Row],[GA]]</f>
        <v>0</v>
      </c>
      <c r="BK25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25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2</v>
      </c>
    </row>
    <row r="26" spans="1:64" ht="16" x14ac:dyDescent="0.2">
      <c r="A26" s="29" t="s">
        <v>35</v>
      </c>
      <c r="B26" s="12" t="s">
        <v>98</v>
      </c>
      <c r="C26" s="22" t="s">
        <v>82</v>
      </c>
      <c r="D26" s="22" t="s">
        <v>78</v>
      </c>
      <c r="E26" s="18"/>
      <c r="F26" s="18"/>
      <c r="G26" s="12" t="str">
        <f>IF(AND(GroupFixtures[[#This Row],[Home Score]]&lt;&gt;"",GroupFixtures[[#This Row],[Away Score]]&lt;&gt;""),1,"")</f>
        <v/>
      </c>
      <c r="H26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26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26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26" s="12" t="s">
        <v>223</v>
      </c>
      <c r="L26" s="38">
        <v>0.16666666666666666</v>
      </c>
      <c r="N26" s="12" t="str" cm="1">
        <f t="array" ref="N26">_xlfn.XLOOKUP(1,($BB$5:$BB$52="G")*($BL$5:$BL$52=3),$BC$5:$BC$52,"")</f>
        <v>IR Iran (Nick)</v>
      </c>
      <c r="O26" s="12" cm="1">
        <f t="array" ref="O26">_xlfn.XLOOKUP(1,($BB$5:$BB$52="G")*($BL$5:$BL$52=3),$BD$5:$BD$52,"")</f>
        <v>0</v>
      </c>
      <c r="P26" s="12" cm="1">
        <f t="array" ref="P26">_xlfn.XLOOKUP(1,($BB$5:$BB$52="G")*($BL$5:$BL$52=3),$BE$5:$BE$52,"")</f>
        <v>0</v>
      </c>
      <c r="Q26" s="12" cm="1">
        <f t="array" ref="Q26">_xlfn.XLOOKUP(1,($BB$5:$BB$52="G")*($BL$5:$BL$52=3),$BF$5:$BF$52,"")</f>
        <v>0</v>
      </c>
      <c r="R26" s="12" cm="1">
        <f t="array" ref="R26">_xlfn.XLOOKUP(1,($BB$5:$BB$52="G")*($BL$5:$BL$52=3),$BG$5:$BG$52,"")</f>
        <v>0</v>
      </c>
      <c r="S26" s="12" cm="1">
        <f t="array" ref="S26">_xlfn.XLOOKUP(1,($BB$5:$BB$52="G")*($BL$5:$BL$52=3),$BH$5:$BH$52,"")</f>
        <v>0</v>
      </c>
      <c r="T26" s="12" cm="1">
        <f t="array" ref="T26">_xlfn.XLOOKUP(1,($BB$5:$BB$52="G")*($BL$5:$BL$52=3),$BI$5:$BI$52,"")</f>
        <v>0</v>
      </c>
      <c r="U26" s="12" cm="1">
        <f t="array" ref="U26">_xlfn.XLOOKUP(1,($BB$5:$BB$52="G")*($BL$5:$BL$52=3),$BJ$5:$BJ$52,"")</f>
        <v>0</v>
      </c>
      <c r="V26" s="12" cm="1">
        <f t="array" ref="V26">_xlfn.XLOOKUP(1,($BB$5:$BB$52="G")*($BL$5:$BL$52=3),$BK$5:$BK$52,"")</f>
        <v>0</v>
      </c>
      <c r="X26" s="12" t="str" cm="1">
        <f t="array" ref="X26">_xlfn.XLOOKUP(1,($BB$5:$BB$52="H")*($BL$5:$BL$52=3),$BC$5:$BC$52,"")</f>
        <v>Spain (Matt P)</v>
      </c>
      <c r="Y26" s="12" cm="1">
        <f t="array" ref="Y26">_xlfn.XLOOKUP(1,($BB$5:$BB$52="H")*($BL$5:$BL$52=3),$BD$5:$BD$52,"")</f>
        <v>0</v>
      </c>
      <c r="Z26" s="12" cm="1">
        <f t="array" ref="Z26">_xlfn.XLOOKUP(1,($BB$5:$BB$52="H")*($BL$5:$BL$52=3),$BE$5:$BE$52,"")</f>
        <v>0</v>
      </c>
      <c r="AA26" s="12" cm="1">
        <f t="array" ref="AA26">_xlfn.XLOOKUP(1,($BB$5:$BB$52="H")*($BL$5:$BL$52=3),$BF$5:$BF$52,"")</f>
        <v>0</v>
      </c>
      <c r="AB26" s="12" cm="1">
        <f t="array" ref="AB26">_xlfn.XLOOKUP(1,($BB$5:$BB$52="H")*($BL$5:$BL$52=3),$BG$5:$BG$52,"")</f>
        <v>0</v>
      </c>
      <c r="AC26" s="12" cm="1">
        <f t="array" ref="AC26">_xlfn.XLOOKUP(1,($BB$5:$BB$52="H")*($BL$5:$BL$52=3),$BH$5:$BH$52,"")</f>
        <v>0</v>
      </c>
      <c r="AD26" s="12" cm="1">
        <f t="array" ref="AD26">_xlfn.XLOOKUP(1,($BB$5:$BB$52="H")*($BL$5:$BL$52=3),$BI$5:$BI$52,"")</f>
        <v>0</v>
      </c>
      <c r="AE26" s="12" cm="1">
        <f t="array" ref="AE26">_xlfn.XLOOKUP(1,($BB$5:$BB$52="H")*($BL$5:$BL$52=3),$BJ$5:$BJ$52,"")</f>
        <v>0</v>
      </c>
      <c r="AF26" s="12" cm="1">
        <f t="array" ref="AF26">_xlfn.XLOOKUP(1,($BB$5:$BB$52="H")*($BL$5:$BL$52=3),$BK$5:$BK$52,"")</f>
        <v>0</v>
      </c>
      <c r="AH26" s="12" t="str" cm="1">
        <f t="array" ref="AH26">_xlfn.XLOOKUP(1,($BB$5:$BB$52="I")*($BL$5:$BL$52=3),$BC$5:$BC$52,"")</f>
        <v>Norway (Ben)</v>
      </c>
      <c r="AI26" s="12" cm="1">
        <f t="array" ref="AI26">_xlfn.XLOOKUP(1,($BB$5:$BB$52="I")*($BL$5:$BL$52=3),$BD$5:$BD$52,"")</f>
        <v>0</v>
      </c>
      <c r="AJ26" s="12" cm="1">
        <f t="array" ref="AJ26">_xlfn.XLOOKUP(1,($BB$5:$BB$52="I")*($BL$5:$BL$52=3),$BE$5:$BE$52,"")</f>
        <v>0</v>
      </c>
      <c r="AK26" s="12" cm="1">
        <f t="array" ref="AK26">_xlfn.XLOOKUP(1,($BB$5:$BB$52="I")*($BL$5:$BL$52=3),$BF$5:$BF$52,"")</f>
        <v>0</v>
      </c>
      <c r="AL26" s="12" cm="1">
        <f t="array" ref="AL26">_xlfn.XLOOKUP(1,($BB$5:$BB$52="I")*($BL$5:$BL$52=3),$BG$5:$BG$52,"")</f>
        <v>0</v>
      </c>
      <c r="AM26" s="12" cm="1">
        <f t="array" ref="AM26">_xlfn.XLOOKUP(1,($BB$5:$BB$52="I")*($BL$5:$BL$52=3),$BH$5:$BH$52,"")</f>
        <v>0</v>
      </c>
      <c r="AN26" s="12" cm="1">
        <f t="array" ref="AN26">_xlfn.XLOOKUP(1,($BB$5:$BB$52="I")*($BL$5:$BL$52=3),$BI$5:$BI$52,"")</f>
        <v>0</v>
      </c>
      <c r="AO26" s="12" cm="1">
        <f t="array" ref="AO26">_xlfn.XLOOKUP(1,($BB$5:$BB$52="I")*($BL$5:$BL$52=3),$BJ$5:$BJ$52,"")</f>
        <v>0</v>
      </c>
      <c r="AP26" s="12" cm="1">
        <f t="array" ref="AP26">_xlfn.XLOOKUP(1,($BB$5:$BB$52="I")*($BL$5:$BL$52=3),$BK$5:$BK$52,"")</f>
        <v>0</v>
      </c>
      <c r="BB26" t="s">
        <v>96</v>
      </c>
      <c r="BC26" t="s">
        <v>292</v>
      </c>
      <c r="BD26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26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26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26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26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26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26">
        <f>GroupStandings[[#This Row],[GF]]-GroupStandings[[#This Row],[GA]]</f>
        <v>0</v>
      </c>
      <c r="BK26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26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1</v>
      </c>
    </row>
    <row r="27" spans="1:64" ht="16" x14ac:dyDescent="0.2">
      <c r="A27" s="29" t="s">
        <v>35</v>
      </c>
      <c r="B27" s="12" t="s">
        <v>100</v>
      </c>
      <c r="C27" s="22" t="s">
        <v>82</v>
      </c>
      <c r="D27" s="22" t="s">
        <v>76</v>
      </c>
      <c r="E27" s="18"/>
      <c r="F27" s="18"/>
      <c r="G27" s="12" t="str">
        <f>IF(AND(GroupFixtures[[#This Row],[Home Score]]&lt;&gt;"",GroupFixtures[[#This Row],[Away Score]]&lt;&gt;""),1,"")</f>
        <v/>
      </c>
      <c r="H27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27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27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27" s="12" t="s">
        <v>224</v>
      </c>
      <c r="L27" s="38">
        <v>0.125</v>
      </c>
      <c r="N27" s="12" t="str" cm="1">
        <f t="array" ref="N27">_xlfn.XLOOKUP(1,($BB$5:$BB$52="G")*($BL$5:$BL$52=4),$BC$5:$BC$52,"")</f>
        <v>New Zealand (Ben)</v>
      </c>
      <c r="O27" s="12" cm="1">
        <f t="array" ref="O27">_xlfn.XLOOKUP(1,($BB$5:$BB$52="G")*($BL$5:$BL$52=4),$BD$5:$BD$52,"")</f>
        <v>0</v>
      </c>
      <c r="P27" s="12" cm="1">
        <f t="array" ref="P27">_xlfn.XLOOKUP(1,($BB$5:$BB$52="G")*($BL$5:$BL$52=4),$BE$5:$BE$52,"")</f>
        <v>0</v>
      </c>
      <c r="Q27" s="12" cm="1">
        <f t="array" ref="Q27">_xlfn.XLOOKUP(1,($BB$5:$BB$52="G")*($BL$5:$BL$52=4),$BF$5:$BF$52,"")</f>
        <v>0</v>
      </c>
      <c r="R27" s="12" cm="1">
        <f t="array" ref="R27">_xlfn.XLOOKUP(1,($BB$5:$BB$52="G")*($BL$5:$BL$52=4),$BG$5:$BG$52,"")</f>
        <v>0</v>
      </c>
      <c r="S27" s="12" cm="1">
        <f t="array" ref="S27">_xlfn.XLOOKUP(1,($BB$5:$BB$52="G")*($BL$5:$BL$52=4),$BH$5:$BH$52,"")</f>
        <v>0</v>
      </c>
      <c r="T27" s="12" cm="1">
        <f t="array" ref="T27">_xlfn.XLOOKUP(1,($BB$5:$BB$52="G")*($BL$5:$BL$52=4),$BI$5:$BI$52,"")</f>
        <v>0</v>
      </c>
      <c r="U27" s="12" cm="1">
        <f t="array" ref="U27">_xlfn.XLOOKUP(1,($BB$5:$BB$52="G")*($BL$5:$BL$52=4),$BJ$5:$BJ$52,"")</f>
        <v>0</v>
      </c>
      <c r="V27" s="12" cm="1">
        <f t="array" ref="V27">_xlfn.XLOOKUP(1,($BB$5:$BB$52="G")*($BL$5:$BL$52=4),$BK$5:$BK$52,"")</f>
        <v>0</v>
      </c>
      <c r="X27" s="12" t="str" cm="1">
        <f t="array" ref="X27">_xlfn.XLOOKUP(1,($BB$5:$BB$52="H")*($BL$5:$BL$52=4),$BC$5:$BC$52,"")</f>
        <v>Uruguay (Caoimhe)</v>
      </c>
      <c r="Y27" s="12" cm="1">
        <f t="array" ref="Y27">_xlfn.XLOOKUP(1,($BB$5:$BB$52="H")*($BL$5:$BL$52=4),$BD$5:$BD$52,"")</f>
        <v>0</v>
      </c>
      <c r="Z27" s="12" cm="1">
        <f t="array" ref="Z27">_xlfn.XLOOKUP(1,($BB$5:$BB$52="H")*($BL$5:$BL$52=4),$BE$5:$BE$52,"")</f>
        <v>0</v>
      </c>
      <c r="AA27" s="12" cm="1">
        <f t="array" ref="AA27">_xlfn.XLOOKUP(1,($BB$5:$BB$52="H")*($BL$5:$BL$52=4),$BF$5:$BF$52,"")</f>
        <v>0</v>
      </c>
      <c r="AB27" s="12" cm="1">
        <f t="array" ref="AB27">_xlfn.XLOOKUP(1,($BB$5:$BB$52="H")*($BL$5:$BL$52=4),$BG$5:$BG$52,"")</f>
        <v>0</v>
      </c>
      <c r="AC27" s="12" cm="1">
        <f t="array" ref="AC27">_xlfn.XLOOKUP(1,($BB$5:$BB$52="H")*($BL$5:$BL$52=4),$BH$5:$BH$52,"")</f>
        <v>0</v>
      </c>
      <c r="AD27" s="12" cm="1">
        <f t="array" ref="AD27">_xlfn.XLOOKUP(1,($BB$5:$BB$52="H")*($BL$5:$BL$52=4),$BI$5:$BI$52,"")</f>
        <v>0</v>
      </c>
      <c r="AE27" s="12" cm="1">
        <f t="array" ref="AE27">_xlfn.XLOOKUP(1,($BB$5:$BB$52="H")*($BL$5:$BL$52=4),$BJ$5:$BJ$52,"")</f>
        <v>0</v>
      </c>
      <c r="AF27" s="12" cm="1">
        <f t="array" ref="AF27">_xlfn.XLOOKUP(1,($BB$5:$BB$52="H")*($BL$5:$BL$52=4),$BK$5:$BK$52,"")</f>
        <v>0</v>
      </c>
      <c r="AH27" s="12" t="str" cm="1">
        <f t="array" ref="AH27">_xlfn.XLOOKUP(1,($BB$5:$BB$52="I")*($BL$5:$BL$52=4),$BC$5:$BC$52,"")</f>
        <v>Senegal (Nelly)</v>
      </c>
      <c r="AI27" s="12" cm="1">
        <f t="array" ref="AI27">_xlfn.XLOOKUP(1,($BB$5:$BB$52="I")*($BL$5:$BL$52=4),$BD$5:$BD$52,"")</f>
        <v>0</v>
      </c>
      <c r="AJ27" s="12" cm="1">
        <f t="array" ref="AJ27">_xlfn.XLOOKUP(1,($BB$5:$BB$52="I")*($BL$5:$BL$52=4),$BE$5:$BE$52,"")</f>
        <v>0</v>
      </c>
      <c r="AK27" s="12" cm="1">
        <f t="array" ref="AK27">_xlfn.XLOOKUP(1,($BB$5:$BB$52="I")*($BL$5:$BL$52=4),$BF$5:$BF$52,"")</f>
        <v>0</v>
      </c>
      <c r="AL27" s="12" cm="1">
        <f t="array" ref="AL27">_xlfn.XLOOKUP(1,($BB$5:$BB$52="I")*($BL$5:$BL$52=4),$BG$5:$BG$52,"")</f>
        <v>0</v>
      </c>
      <c r="AM27" s="12" cm="1">
        <f t="array" ref="AM27">_xlfn.XLOOKUP(1,($BB$5:$BB$52="I")*($BL$5:$BL$52=4),$BH$5:$BH$52,"")</f>
        <v>0</v>
      </c>
      <c r="AN27" s="12" cm="1">
        <f t="array" ref="AN27">_xlfn.XLOOKUP(1,($BB$5:$BB$52="I")*($BL$5:$BL$52=4),$BI$5:$BI$52,"")</f>
        <v>0</v>
      </c>
      <c r="AO27" s="12" cm="1">
        <f t="array" ref="AO27">_xlfn.XLOOKUP(1,($BB$5:$BB$52="I")*($BL$5:$BL$52=4),$BJ$5:$BJ$52,"")</f>
        <v>0</v>
      </c>
      <c r="AP27" s="12" cm="1">
        <f t="array" ref="AP27">_xlfn.XLOOKUP(1,($BB$5:$BB$52="I")*($BL$5:$BL$52=4),$BK$5:$BK$52,"")</f>
        <v>0</v>
      </c>
      <c r="BB27" t="s">
        <v>96</v>
      </c>
      <c r="BC27" t="s">
        <v>296</v>
      </c>
      <c r="BD27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27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27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27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27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27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27">
        <f>GroupStandings[[#This Row],[GF]]-GroupStandings[[#This Row],[GA]]</f>
        <v>0</v>
      </c>
      <c r="BK27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27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3</v>
      </c>
    </row>
    <row r="28" spans="1:64" ht="16" x14ac:dyDescent="0.2">
      <c r="A28" s="29" t="s">
        <v>35</v>
      </c>
      <c r="B28" s="12" t="s">
        <v>102</v>
      </c>
      <c r="C28" s="22" t="s">
        <v>78</v>
      </c>
      <c r="D28" s="22" t="s">
        <v>80</v>
      </c>
      <c r="E28" s="18"/>
      <c r="F28" s="18"/>
      <c r="G28" s="12" t="str">
        <f>IF(AND(GroupFixtures[[#This Row],[Home Score]]&lt;&gt;"",GroupFixtures[[#This Row],[Away Score]]&lt;&gt;""),1,"")</f>
        <v/>
      </c>
      <c r="H28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28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28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28" s="12" t="s">
        <v>224</v>
      </c>
      <c r="L28" s="38">
        <v>0.125</v>
      </c>
      <c r="BB28" t="s">
        <v>96</v>
      </c>
      <c r="BC28" t="s">
        <v>286</v>
      </c>
      <c r="BD28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28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28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28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28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28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28">
        <f>GroupStandings[[#This Row],[GF]]-GroupStandings[[#This Row],[GA]]</f>
        <v>0</v>
      </c>
      <c r="BK28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28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4</v>
      </c>
    </row>
    <row r="29" spans="1:64" ht="16" x14ac:dyDescent="0.2">
      <c r="A29" s="29" t="s">
        <v>84</v>
      </c>
      <c r="B29" s="12" t="s">
        <v>104</v>
      </c>
      <c r="C29" s="22" t="s">
        <v>85</v>
      </c>
      <c r="D29" s="22" t="s">
        <v>90</v>
      </c>
      <c r="E29" s="18"/>
      <c r="F29" s="18"/>
      <c r="G29" s="12" t="str">
        <f>IF(AND(GroupFixtures[[#This Row],[Home Score]]&lt;&gt;"",GroupFixtures[[#This Row],[Away Score]]&lt;&gt;""),1,"")</f>
        <v/>
      </c>
      <c r="H29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29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29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29" s="12" t="s">
        <v>222</v>
      </c>
      <c r="L29" s="38">
        <v>0.75</v>
      </c>
      <c r="BB29" t="s">
        <v>105</v>
      </c>
      <c r="BC29" t="s">
        <v>275</v>
      </c>
      <c r="BD29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29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29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29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29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29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29">
        <f>GroupStandings[[#This Row],[GF]]-GroupStandings[[#This Row],[GA]]</f>
        <v>0</v>
      </c>
      <c r="BK29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29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1</v>
      </c>
    </row>
    <row r="30" spans="1:64" ht="16" x14ac:dyDescent="0.2">
      <c r="A30" s="29" t="s">
        <v>84</v>
      </c>
      <c r="B30" s="12" t="s">
        <v>107</v>
      </c>
      <c r="C30" s="22" t="s">
        <v>92</v>
      </c>
      <c r="D30" s="22" t="s">
        <v>94</v>
      </c>
      <c r="E30" s="18"/>
      <c r="F30" s="18"/>
      <c r="G30" s="12" t="str">
        <f>IF(AND(GroupFixtures[[#This Row],[Home Score]]&lt;&gt;"",GroupFixtures[[#This Row],[Away Score]]&lt;&gt;""),1,"")</f>
        <v/>
      </c>
      <c r="H30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30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30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30" s="12" t="s">
        <v>225</v>
      </c>
      <c r="L30" s="38">
        <v>0</v>
      </c>
      <c r="N30" s="11" t="s">
        <v>108</v>
      </c>
      <c r="O30" s="11"/>
      <c r="P30" s="11"/>
      <c r="Q30" s="11"/>
      <c r="R30" s="11"/>
      <c r="S30" s="11"/>
      <c r="T30" s="11"/>
      <c r="U30" s="11"/>
      <c r="V30" s="11"/>
      <c r="X30" s="11" t="s">
        <v>109</v>
      </c>
      <c r="Y30" s="11"/>
      <c r="Z30" s="11"/>
      <c r="AA30" s="11"/>
      <c r="AB30" s="11"/>
      <c r="AC30" s="11"/>
      <c r="AD30" s="11"/>
      <c r="AE30" s="11"/>
      <c r="AF30" s="11"/>
      <c r="AH30" s="11" t="s">
        <v>110</v>
      </c>
      <c r="AI30" s="11"/>
      <c r="AJ30" s="11"/>
      <c r="AK30" s="11"/>
      <c r="AL30" s="11"/>
      <c r="AM30" s="11"/>
      <c r="AN30" s="11"/>
      <c r="AO30" s="11"/>
      <c r="AP30" s="11"/>
      <c r="BB30" t="s">
        <v>105</v>
      </c>
      <c r="BC30" t="s">
        <v>269</v>
      </c>
      <c r="BD30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30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30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30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30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30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30">
        <f>GroupStandings[[#This Row],[GF]]-GroupStandings[[#This Row],[GA]]</f>
        <v>0</v>
      </c>
      <c r="BK30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30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2</v>
      </c>
    </row>
    <row r="31" spans="1:64" ht="16" x14ac:dyDescent="0.2">
      <c r="A31" s="29" t="s">
        <v>84</v>
      </c>
      <c r="B31" s="12" t="s">
        <v>112</v>
      </c>
      <c r="C31" s="22" t="s">
        <v>85</v>
      </c>
      <c r="D31" s="22" t="s">
        <v>92</v>
      </c>
      <c r="E31" s="18"/>
      <c r="F31" s="18"/>
      <c r="G31" s="12" t="str">
        <f>IF(AND(GroupFixtures[[#This Row],[Home Score]]&lt;&gt;"",GroupFixtures[[#This Row],[Away Score]]&lt;&gt;""),1,"")</f>
        <v/>
      </c>
      <c r="H31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31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31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31" s="12" t="s">
        <v>223</v>
      </c>
      <c r="L31" s="38">
        <v>0.875</v>
      </c>
      <c r="N31" s="21" t="s">
        <v>1</v>
      </c>
      <c r="O31" s="21" t="s">
        <v>33</v>
      </c>
      <c r="P31" s="21" t="s">
        <v>34</v>
      </c>
      <c r="Q31" s="21" t="s">
        <v>35</v>
      </c>
      <c r="R31" s="21" t="s">
        <v>36</v>
      </c>
      <c r="S31" s="21" t="s">
        <v>37</v>
      </c>
      <c r="T31" s="21" t="s">
        <v>38</v>
      </c>
      <c r="U31" s="21" t="s">
        <v>39</v>
      </c>
      <c r="V31" s="21" t="s">
        <v>40</v>
      </c>
      <c r="X31" s="21" t="s">
        <v>1</v>
      </c>
      <c r="Y31" s="21" t="s">
        <v>33</v>
      </c>
      <c r="Z31" s="21" t="s">
        <v>34</v>
      </c>
      <c r="AA31" s="21" t="s">
        <v>35</v>
      </c>
      <c r="AB31" s="21" t="s">
        <v>36</v>
      </c>
      <c r="AC31" s="21" t="s">
        <v>37</v>
      </c>
      <c r="AD31" s="21" t="s">
        <v>38</v>
      </c>
      <c r="AE31" s="21" t="s">
        <v>39</v>
      </c>
      <c r="AF31" s="21" t="s">
        <v>40</v>
      </c>
      <c r="AH31" s="21" t="s">
        <v>1</v>
      </c>
      <c r="AI31" s="21" t="s">
        <v>33</v>
      </c>
      <c r="AJ31" s="21" t="s">
        <v>34</v>
      </c>
      <c r="AK31" s="21" t="s">
        <v>35</v>
      </c>
      <c r="AL31" s="21" t="s">
        <v>36</v>
      </c>
      <c r="AM31" s="21" t="s">
        <v>37</v>
      </c>
      <c r="AN31" s="21" t="s">
        <v>38</v>
      </c>
      <c r="AO31" s="21" t="s">
        <v>39</v>
      </c>
      <c r="AP31" s="21" t="s">
        <v>40</v>
      </c>
      <c r="BB31" t="s">
        <v>105</v>
      </c>
      <c r="BC31" t="s">
        <v>284</v>
      </c>
      <c r="BD31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31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31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31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31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31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31">
        <f>GroupStandings[[#This Row],[GF]]-GroupStandings[[#This Row],[GA]]</f>
        <v>0</v>
      </c>
      <c r="BK31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31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3</v>
      </c>
    </row>
    <row r="32" spans="1:64" ht="16" x14ac:dyDescent="0.2">
      <c r="A32" s="29" t="s">
        <v>84</v>
      </c>
      <c r="B32" s="12" t="s">
        <v>114</v>
      </c>
      <c r="C32" s="22" t="s">
        <v>94</v>
      </c>
      <c r="D32" s="22" t="s">
        <v>90</v>
      </c>
      <c r="E32" s="18"/>
      <c r="F32" s="18"/>
      <c r="G32" s="12" t="str">
        <f>IF(AND(GroupFixtures[[#This Row],[Home Score]]&lt;&gt;"",GroupFixtures[[#This Row],[Away Score]]&lt;&gt;""),1,"")</f>
        <v/>
      </c>
      <c r="H32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32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32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32" s="12" t="s">
        <v>226</v>
      </c>
      <c r="L32" s="38">
        <v>4.1666666666666664E-2</v>
      </c>
      <c r="N32" s="12" t="str" cm="1">
        <f t="array" ref="N32">_xlfn.XLOOKUP(1,($BB$5:$BB$52="J")*($BL$5:$BL$52=1),$BC$5:$BC$52,"")</f>
        <v>Algeria (Scott)</v>
      </c>
      <c r="O32" s="12" cm="1">
        <f t="array" ref="O32">_xlfn.XLOOKUP(1,($BB$5:$BB$52="J")*($BL$5:$BL$52=1),$BD$5:$BD$52,"")</f>
        <v>0</v>
      </c>
      <c r="P32" s="12" cm="1">
        <f t="array" ref="P32">_xlfn.XLOOKUP(1,($BB$5:$BB$52="J")*($BL$5:$BL$52=1),$BE$5:$BE$52,"")</f>
        <v>0</v>
      </c>
      <c r="Q32" s="12" cm="1">
        <f t="array" ref="Q32">_xlfn.XLOOKUP(1,($BB$5:$BB$52="J")*($BL$5:$BL$52=1),$BF$5:$BF$52,"")</f>
        <v>0</v>
      </c>
      <c r="R32" s="12" cm="1">
        <f t="array" ref="R32">_xlfn.XLOOKUP(1,($BB$5:$BB$52="J")*($BL$5:$BL$52=1),$BG$5:$BG$52,"")</f>
        <v>0</v>
      </c>
      <c r="S32" s="12" cm="1">
        <f t="array" ref="S32">_xlfn.XLOOKUP(1,($BB$5:$BB$52="J")*($BL$5:$BL$52=1),$BH$5:$BH$52,"")</f>
        <v>0</v>
      </c>
      <c r="T32" s="12" cm="1">
        <f t="array" ref="T32">_xlfn.XLOOKUP(1,($BB$5:$BB$52="J")*($BL$5:$BL$52=1),$BI$5:$BI$52,"")</f>
        <v>0</v>
      </c>
      <c r="U32" s="12" cm="1">
        <f t="array" ref="U32">_xlfn.XLOOKUP(1,($BB$5:$BB$52="J")*($BL$5:$BL$52=1),$BJ$5:$BJ$52,"")</f>
        <v>0</v>
      </c>
      <c r="V32" s="12" cm="1">
        <f t="array" ref="V32">_xlfn.XLOOKUP(1,($BB$5:$BB$52="J")*($BL$5:$BL$52=1),$BK$5:$BK$52,"")</f>
        <v>0</v>
      </c>
      <c r="X32" s="12" t="str" cm="1">
        <f t="array" ref="X32">_xlfn.XLOOKUP(1,($BB$5:$BB$52="K")*($BL$5:$BL$52=1),$BC$5:$BC$52,"")</f>
        <v>Colombia (Mark)</v>
      </c>
      <c r="Y32" s="12" cm="1">
        <f t="array" ref="Y32">_xlfn.XLOOKUP(1,($BB$5:$BB$52="K")*($BL$5:$BL$52=1),$BD$5:$BD$52,"")</f>
        <v>0</v>
      </c>
      <c r="Z32" s="12" cm="1">
        <f t="array" ref="Z32">_xlfn.XLOOKUP(1,($BB$5:$BB$52="K")*($BL$5:$BL$52=1),$BE$5:$BE$52,"")</f>
        <v>0</v>
      </c>
      <c r="AA32" s="12" cm="1">
        <f t="array" ref="AA32">_xlfn.XLOOKUP(1,($BB$5:$BB$52="K")*($BL$5:$BL$52=1),$BF$5:$BF$52,"")</f>
        <v>0</v>
      </c>
      <c r="AB32" s="12" cm="1">
        <f t="array" ref="AB32">_xlfn.XLOOKUP(1,($BB$5:$BB$52="K")*($BL$5:$BL$52=1),$BG$5:$BG$52,"")</f>
        <v>0</v>
      </c>
      <c r="AC32" s="12" cm="1">
        <f t="array" ref="AC32">_xlfn.XLOOKUP(1,($BB$5:$BB$52="K")*($BL$5:$BL$52=1),$BH$5:$BH$52,"")</f>
        <v>0</v>
      </c>
      <c r="AD32" s="12" cm="1">
        <f t="array" ref="AD32">_xlfn.XLOOKUP(1,($BB$5:$BB$52="K")*($BL$5:$BL$52=1),$BI$5:$BI$52,"")</f>
        <v>0</v>
      </c>
      <c r="AE32" s="12" cm="1">
        <f t="array" ref="AE32">_xlfn.XLOOKUP(1,($BB$5:$BB$52="K")*($BL$5:$BL$52=1),$BJ$5:$BJ$52,"")</f>
        <v>0</v>
      </c>
      <c r="AF32" s="12" cm="1">
        <f t="array" ref="AF32">_xlfn.XLOOKUP(1,($BB$5:$BB$52="K")*($BL$5:$BL$52=1),$BK$5:$BK$52,"")</f>
        <v>0</v>
      </c>
      <c r="AH32" s="12" t="str" cm="1">
        <f t="array" ref="AH32">_xlfn.XLOOKUP(1,($BB$5:$BB$52="L")*($BL$5:$BL$52=1),$BC$5:$BC$52,"")</f>
        <v>Croatia (Sean)</v>
      </c>
      <c r="AI32" s="12" cm="1">
        <f t="array" ref="AI32">_xlfn.XLOOKUP(1,($BB$5:$BB$52="L")*($BL$5:$BL$52=1),$BD$5:$BD$52,"")</f>
        <v>0</v>
      </c>
      <c r="AJ32" s="12" cm="1">
        <f t="array" ref="AJ32">_xlfn.XLOOKUP(1,($BB$5:$BB$52="L")*($BL$5:$BL$52=1),$BE$5:$BE$52,"")</f>
        <v>0</v>
      </c>
      <c r="AK32" s="12" cm="1">
        <f t="array" ref="AK32">_xlfn.XLOOKUP(1,($BB$5:$BB$52="L")*($BL$5:$BL$52=1),$BF$5:$BF$52,"")</f>
        <v>0</v>
      </c>
      <c r="AL32" s="12" cm="1">
        <f t="array" ref="AL32">_xlfn.XLOOKUP(1,($BB$5:$BB$52="L")*($BL$5:$BL$52=1),$BG$5:$BG$52,"")</f>
        <v>0</v>
      </c>
      <c r="AM32" s="12" cm="1">
        <f t="array" ref="AM32">_xlfn.XLOOKUP(1,($BB$5:$BB$52="L")*($BL$5:$BL$52=1),$BH$5:$BH$52,"")</f>
        <v>0</v>
      </c>
      <c r="AN32" s="12" cm="1">
        <f t="array" ref="AN32">_xlfn.XLOOKUP(1,($BB$5:$BB$52="L")*($BL$5:$BL$52=1),$BI$5:$BI$52,"")</f>
        <v>0</v>
      </c>
      <c r="AO32" s="12" cm="1">
        <f t="array" ref="AO32">_xlfn.XLOOKUP(1,($BB$5:$BB$52="L")*($BL$5:$BL$52=1),$BJ$5:$BJ$52,"")</f>
        <v>0</v>
      </c>
      <c r="AP32" s="12" cm="1">
        <f t="array" ref="AP32">_xlfn.XLOOKUP(1,($BB$5:$BB$52="L")*($BL$5:$BL$52=1),$BK$5:$BK$52,"")</f>
        <v>0</v>
      </c>
      <c r="BB32" t="s">
        <v>105</v>
      </c>
      <c r="BC32" t="s">
        <v>256</v>
      </c>
      <c r="BD32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32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32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32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32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32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32">
        <f>GroupStandings[[#This Row],[GF]]-GroupStandings[[#This Row],[GA]]</f>
        <v>0</v>
      </c>
      <c r="BK32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32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4</v>
      </c>
    </row>
    <row r="33" spans="1:64" ht="16" x14ac:dyDescent="0.2">
      <c r="A33" s="29" t="s">
        <v>84</v>
      </c>
      <c r="B33" s="12" t="s">
        <v>116</v>
      </c>
      <c r="C33" s="22" t="s">
        <v>94</v>
      </c>
      <c r="D33" s="22" t="s">
        <v>85</v>
      </c>
      <c r="E33" s="18"/>
      <c r="F33" s="18"/>
      <c r="G33" s="12" t="str">
        <f>IF(AND(GroupFixtures[[#This Row],[Home Score]]&lt;&gt;"",GroupFixtures[[#This Row],[Away Score]]&lt;&gt;""),1,"")</f>
        <v/>
      </c>
      <c r="H33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33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33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33" s="12" t="s">
        <v>218</v>
      </c>
      <c r="L33" s="38">
        <v>0.875</v>
      </c>
      <c r="N33" s="12" t="str" cm="1">
        <f t="array" ref="N33">_xlfn.XLOOKUP(1,($BB$5:$BB$52="J")*($BL$5:$BL$52=2),$BC$5:$BC$52,"")</f>
        <v>Argentina (Jane)</v>
      </c>
      <c r="O33" s="12" cm="1">
        <f t="array" ref="O33">_xlfn.XLOOKUP(1,($BB$5:$BB$52="J")*($BL$5:$BL$52=2),$BD$5:$BD$52,"")</f>
        <v>0</v>
      </c>
      <c r="P33" s="12" cm="1">
        <f t="array" ref="P33">_xlfn.XLOOKUP(1,($BB$5:$BB$52="J")*($BL$5:$BL$52=2),$BE$5:$BE$52,"")</f>
        <v>0</v>
      </c>
      <c r="Q33" s="12" cm="1">
        <f t="array" ref="Q33">_xlfn.XLOOKUP(1,($BB$5:$BB$52="J")*($BL$5:$BL$52=2),$BF$5:$BF$52,"")</f>
        <v>0</v>
      </c>
      <c r="R33" s="12" cm="1">
        <f t="array" ref="R33">_xlfn.XLOOKUP(1,($BB$5:$BB$52="J")*($BL$5:$BL$52=2),$BG$5:$BG$52,"")</f>
        <v>0</v>
      </c>
      <c r="S33" s="12" cm="1">
        <f t="array" ref="S33">_xlfn.XLOOKUP(1,($BB$5:$BB$52="J")*($BL$5:$BL$52=2),$BH$5:$BH$52,"")</f>
        <v>0</v>
      </c>
      <c r="T33" s="12" cm="1">
        <f t="array" ref="T33">_xlfn.XLOOKUP(1,($BB$5:$BB$52="J")*($BL$5:$BL$52=2),$BI$5:$BI$52,"")</f>
        <v>0</v>
      </c>
      <c r="U33" s="12" cm="1">
        <f t="array" ref="U33">_xlfn.XLOOKUP(1,($BB$5:$BB$52="J")*($BL$5:$BL$52=2),$BJ$5:$BJ$52,"")</f>
        <v>0</v>
      </c>
      <c r="V33" s="12" cm="1">
        <f t="array" ref="V33">_xlfn.XLOOKUP(1,($BB$5:$BB$52="J")*($BL$5:$BL$52=2),$BK$5:$BK$52,"")</f>
        <v>0</v>
      </c>
      <c r="X33" s="12" t="str" cm="1">
        <f t="array" ref="X33">_xlfn.XLOOKUP(1,($BB$5:$BB$52="K")*($BL$5:$BL$52=2),$BC$5:$BC$52,"")</f>
        <v>Congo DR (Tom)</v>
      </c>
      <c r="Y33" s="12" cm="1">
        <f t="array" ref="Y33">_xlfn.XLOOKUP(1,($BB$5:$BB$52="K")*($BL$5:$BL$52=2),$BD$5:$BD$52,"")</f>
        <v>0</v>
      </c>
      <c r="Z33" s="12" cm="1">
        <f t="array" ref="Z33">_xlfn.XLOOKUP(1,($BB$5:$BB$52="K")*($BL$5:$BL$52=2),$BE$5:$BE$52,"")</f>
        <v>0</v>
      </c>
      <c r="AA33" s="12" cm="1">
        <f t="array" ref="AA33">_xlfn.XLOOKUP(1,($BB$5:$BB$52="K")*($BL$5:$BL$52=2),$BF$5:$BF$52,"")</f>
        <v>0</v>
      </c>
      <c r="AB33" s="12" cm="1">
        <f t="array" ref="AB33">_xlfn.XLOOKUP(1,($BB$5:$BB$52="K")*($BL$5:$BL$52=2),$BG$5:$BG$52,"")</f>
        <v>0</v>
      </c>
      <c r="AC33" s="12" cm="1">
        <f t="array" ref="AC33">_xlfn.XLOOKUP(1,($BB$5:$BB$52="K")*($BL$5:$BL$52=2),$BH$5:$BH$52,"")</f>
        <v>0</v>
      </c>
      <c r="AD33" s="12" cm="1">
        <f t="array" ref="AD33">_xlfn.XLOOKUP(1,($BB$5:$BB$52="K")*($BL$5:$BL$52=2),$BI$5:$BI$52,"")</f>
        <v>0</v>
      </c>
      <c r="AE33" s="12" cm="1">
        <f t="array" ref="AE33">_xlfn.XLOOKUP(1,($BB$5:$BB$52="K")*($BL$5:$BL$52=2),$BJ$5:$BJ$52,"")</f>
        <v>0</v>
      </c>
      <c r="AF33" s="12" cm="1">
        <f t="array" ref="AF33">_xlfn.XLOOKUP(1,($BB$5:$BB$52="K")*($BL$5:$BL$52=2),$BK$5:$BK$52,"")</f>
        <v>0</v>
      </c>
      <c r="AH33" s="12" t="str" cm="1">
        <f t="array" ref="AH33">_xlfn.XLOOKUP(1,($BB$5:$BB$52="L")*($BL$5:$BL$52=2),$BC$5:$BC$52,"")</f>
        <v>England (Katia)</v>
      </c>
      <c r="AI33" s="12" cm="1">
        <f t="array" ref="AI33">_xlfn.XLOOKUP(1,($BB$5:$BB$52="L")*($BL$5:$BL$52=2),$BD$5:$BD$52,"")</f>
        <v>0</v>
      </c>
      <c r="AJ33" s="12" cm="1">
        <f t="array" ref="AJ33">_xlfn.XLOOKUP(1,($BB$5:$BB$52="L")*($BL$5:$BL$52=2),$BE$5:$BE$52,"")</f>
        <v>0</v>
      </c>
      <c r="AK33" s="12" cm="1">
        <f t="array" ref="AK33">_xlfn.XLOOKUP(1,($BB$5:$BB$52="L")*($BL$5:$BL$52=2),$BF$5:$BF$52,"")</f>
        <v>0</v>
      </c>
      <c r="AL33" s="12" cm="1">
        <f t="array" ref="AL33">_xlfn.XLOOKUP(1,($BB$5:$BB$52="L")*($BL$5:$BL$52=2),$BG$5:$BG$52,"")</f>
        <v>0</v>
      </c>
      <c r="AM33" s="12" cm="1">
        <f t="array" ref="AM33">_xlfn.XLOOKUP(1,($BB$5:$BB$52="L")*($BL$5:$BL$52=2),$BH$5:$BH$52,"")</f>
        <v>0</v>
      </c>
      <c r="AN33" s="12" cm="1">
        <f t="array" ref="AN33">_xlfn.XLOOKUP(1,($BB$5:$BB$52="L")*($BL$5:$BL$52=2),$BI$5:$BI$52,"")</f>
        <v>0</v>
      </c>
      <c r="AO33" s="12" cm="1">
        <f t="array" ref="AO33">_xlfn.XLOOKUP(1,($BB$5:$BB$52="L")*($BL$5:$BL$52=2),$BJ$5:$BJ$52,"")</f>
        <v>0</v>
      </c>
      <c r="AP33" s="12" cm="1">
        <f t="array" ref="AP33">_xlfn.XLOOKUP(1,($BB$5:$BB$52="L")*($BL$5:$BL$52=2),$BK$5:$BK$52,"")</f>
        <v>0</v>
      </c>
      <c r="BB33" t="s">
        <v>117</v>
      </c>
      <c r="BC33" t="s">
        <v>276</v>
      </c>
      <c r="BD33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33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33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33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33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33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33">
        <f>GroupStandings[[#This Row],[GF]]-GroupStandings[[#This Row],[GA]]</f>
        <v>0</v>
      </c>
      <c r="BK33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33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3</v>
      </c>
    </row>
    <row r="34" spans="1:64" ht="16" x14ac:dyDescent="0.2">
      <c r="A34" s="29" t="s">
        <v>84</v>
      </c>
      <c r="B34" s="12" t="s">
        <v>119</v>
      </c>
      <c r="C34" s="22" t="s">
        <v>90</v>
      </c>
      <c r="D34" s="22" t="s">
        <v>92</v>
      </c>
      <c r="E34" s="18"/>
      <c r="F34" s="18"/>
      <c r="G34" s="12" t="str">
        <f>IF(AND(GroupFixtures[[#This Row],[Home Score]]&lt;&gt;"",GroupFixtures[[#This Row],[Away Score]]&lt;&gt;""),1,"")</f>
        <v/>
      </c>
      <c r="H34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34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34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34" s="12" t="s">
        <v>218</v>
      </c>
      <c r="L34" s="38">
        <v>0.875</v>
      </c>
      <c r="N34" s="12" t="str" cm="1">
        <f t="array" ref="N34">_xlfn.XLOOKUP(1,($BB$5:$BB$52="J")*($BL$5:$BL$52=3),$BC$5:$BC$52,"")</f>
        <v>Austria (Tish)</v>
      </c>
      <c r="O34" s="12" cm="1">
        <f t="array" ref="O34">_xlfn.XLOOKUP(1,($BB$5:$BB$52="J")*($BL$5:$BL$52=3),$BD$5:$BD$52,"")</f>
        <v>0</v>
      </c>
      <c r="P34" s="12" cm="1">
        <f t="array" ref="P34">_xlfn.XLOOKUP(1,($BB$5:$BB$52="J")*($BL$5:$BL$52=3),$BE$5:$BE$52,"")</f>
        <v>0</v>
      </c>
      <c r="Q34" s="12" cm="1">
        <f t="array" ref="Q34">_xlfn.XLOOKUP(1,($BB$5:$BB$52="J")*($BL$5:$BL$52=3),$BF$5:$BF$52,"")</f>
        <v>0</v>
      </c>
      <c r="R34" s="12" cm="1">
        <f t="array" ref="R34">_xlfn.XLOOKUP(1,($BB$5:$BB$52="J")*($BL$5:$BL$52=3),$BG$5:$BG$52,"")</f>
        <v>0</v>
      </c>
      <c r="S34" s="12" cm="1">
        <f t="array" ref="S34">_xlfn.XLOOKUP(1,($BB$5:$BB$52="J")*($BL$5:$BL$52=3),$BH$5:$BH$52,"")</f>
        <v>0</v>
      </c>
      <c r="T34" s="12" cm="1">
        <f t="array" ref="T34">_xlfn.XLOOKUP(1,($BB$5:$BB$52="J")*($BL$5:$BL$52=3),$BI$5:$BI$52,"")</f>
        <v>0</v>
      </c>
      <c r="U34" s="12" cm="1">
        <f t="array" ref="U34">_xlfn.XLOOKUP(1,($BB$5:$BB$52="J")*($BL$5:$BL$52=3),$BJ$5:$BJ$52,"")</f>
        <v>0</v>
      </c>
      <c r="V34" s="12" cm="1">
        <f t="array" ref="V34">_xlfn.XLOOKUP(1,($BB$5:$BB$52="J")*($BL$5:$BL$52=3),$BK$5:$BK$52,"")</f>
        <v>0</v>
      </c>
      <c r="X34" s="12" t="str" cm="1">
        <f t="array" ref="X34">_xlfn.XLOOKUP(1,($BB$5:$BB$52="K")*($BL$5:$BL$52=3),$BC$5:$BC$52,"")</f>
        <v>Portugal (Matt P)</v>
      </c>
      <c r="Y34" s="12" cm="1">
        <f t="array" ref="Y34">_xlfn.XLOOKUP(1,($BB$5:$BB$52="K")*($BL$5:$BL$52=3),$BD$5:$BD$52,"")</f>
        <v>0</v>
      </c>
      <c r="Z34" s="12" cm="1">
        <f t="array" ref="Z34">_xlfn.XLOOKUP(1,($BB$5:$BB$52="K")*($BL$5:$BL$52=3),$BE$5:$BE$52,"")</f>
        <v>0</v>
      </c>
      <c r="AA34" s="12" cm="1">
        <f t="array" ref="AA34">_xlfn.XLOOKUP(1,($BB$5:$BB$52="K")*($BL$5:$BL$52=3),$BF$5:$BF$52,"")</f>
        <v>0</v>
      </c>
      <c r="AB34" s="12" cm="1">
        <f t="array" ref="AB34">_xlfn.XLOOKUP(1,($BB$5:$BB$52="K")*($BL$5:$BL$52=3),$BG$5:$BG$52,"")</f>
        <v>0</v>
      </c>
      <c r="AC34" s="12" cm="1">
        <f t="array" ref="AC34">_xlfn.XLOOKUP(1,($BB$5:$BB$52="K")*($BL$5:$BL$52=3),$BH$5:$BH$52,"")</f>
        <v>0</v>
      </c>
      <c r="AD34" s="12" cm="1">
        <f t="array" ref="AD34">_xlfn.XLOOKUP(1,($BB$5:$BB$52="K")*($BL$5:$BL$52=3),$BI$5:$BI$52,"")</f>
        <v>0</v>
      </c>
      <c r="AE34" s="12" cm="1">
        <f t="array" ref="AE34">_xlfn.XLOOKUP(1,($BB$5:$BB$52="K")*($BL$5:$BL$52=3),$BJ$5:$BJ$52,"")</f>
        <v>0</v>
      </c>
      <c r="AF34" s="12" cm="1">
        <f t="array" ref="AF34">_xlfn.XLOOKUP(1,($BB$5:$BB$52="K")*($BL$5:$BL$52=3),$BK$5:$BK$52,"")</f>
        <v>0</v>
      </c>
      <c r="AH34" s="12" t="str" cm="1">
        <f t="array" ref="AH34">_xlfn.XLOOKUP(1,($BB$5:$BB$52="L")*($BL$5:$BL$52=3),$BC$5:$BC$52,"")</f>
        <v>Ghana (Tina)</v>
      </c>
      <c r="AI34" s="12" cm="1">
        <f t="array" ref="AI34">_xlfn.XLOOKUP(1,($BB$5:$BB$52="L")*($BL$5:$BL$52=3),$BD$5:$BD$52,"")</f>
        <v>0</v>
      </c>
      <c r="AJ34" s="12" cm="1">
        <f t="array" ref="AJ34">_xlfn.XLOOKUP(1,($BB$5:$BB$52="L")*($BL$5:$BL$52=3),$BE$5:$BE$52,"")</f>
        <v>0</v>
      </c>
      <c r="AK34" s="12" cm="1">
        <f t="array" ref="AK34">_xlfn.XLOOKUP(1,($BB$5:$BB$52="L")*($BL$5:$BL$52=3),$BF$5:$BF$52,"")</f>
        <v>0</v>
      </c>
      <c r="AL34" s="12" cm="1">
        <f t="array" ref="AL34">_xlfn.XLOOKUP(1,($BB$5:$BB$52="L")*($BL$5:$BL$52=3),$BG$5:$BG$52,"")</f>
        <v>0</v>
      </c>
      <c r="AM34" s="12" cm="1">
        <f t="array" ref="AM34">_xlfn.XLOOKUP(1,($BB$5:$BB$52="L")*($BL$5:$BL$52=3),$BH$5:$BH$52,"")</f>
        <v>0</v>
      </c>
      <c r="AN34" s="12" cm="1">
        <f t="array" ref="AN34">_xlfn.XLOOKUP(1,($BB$5:$BB$52="L")*($BL$5:$BL$52=3),$BI$5:$BI$52,"")</f>
        <v>0</v>
      </c>
      <c r="AO34" s="12" cm="1">
        <f t="array" ref="AO34">_xlfn.XLOOKUP(1,($BB$5:$BB$52="L")*($BL$5:$BL$52=3),$BJ$5:$BJ$52,"")</f>
        <v>0</v>
      </c>
      <c r="AP34" s="12" cm="1">
        <f t="array" ref="AP34">_xlfn.XLOOKUP(1,($BB$5:$BB$52="L")*($BL$5:$BL$52=3),$BK$5:$BK$52,"")</f>
        <v>0</v>
      </c>
      <c r="BB34" t="s">
        <v>117</v>
      </c>
      <c r="BC34" t="s">
        <v>262</v>
      </c>
      <c r="BD34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34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34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34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34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34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34">
        <f>GroupStandings[[#This Row],[GF]]-GroupStandings[[#This Row],[GA]]</f>
        <v>0</v>
      </c>
      <c r="BK34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34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1</v>
      </c>
    </row>
    <row r="35" spans="1:64" ht="16" x14ac:dyDescent="0.2">
      <c r="A35" s="29" t="s">
        <v>96</v>
      </c>
      <c r="B35" s="12" t="s">
        <v>121</v>
      </c>
      <c r="C35" s="22" t="s">
        <v>97</v>
      </c>
      <c r="D35" s="22" t="s">
        <v>99</v>
      </c>
      <c r="E35" s="18"/>
      <c r="F35" s="18"/>
      <c r="G35" s="12" t="str">
        <f>IF(AND(GroupFixtures[[#This Row],[Home Score]]&lt;&gt;"",GroupFixtures[[#This Row],[Away Score]]&lt;&gt;""),1,"")</f>
        <v/>
      </c>
      <c r="H35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35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35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35" s="12" t="s">
        <v>222</v>
      </c>
      <c r="L35" s="38">
        <v>0.875</v>
      </c>
      <c r="N35" s="12" t="str" cm="1">
        <f t="array" ref="N35">_xlfn.XLOOKUP(1,($BB$5:$BB$52="J")*($BL$5:$BL$52=4),$BC$5:$BC$52,"")</f>
        <v>Jordan (Tina)</v>
      </c>
      <c r="O35" s="12" cm="1">
        <f t="array" ref="O35">_xlfn.XLOOKUP(1,($BB$5:$BB$52="J")*($BL$5:$BL$52=4),$BD$5:$BD$52,"")</f>
        <v>0</v>
      </c>
      <c r="P35" s="12" cm="1">
        <f t="array" ref="P35">_xlfn.XLOOKUP(1,($BB$5:$BB$52="J")*($BL$5:$BL$52=4),$BE$5:$BE$52,"")</f>
        <v>0</v>
      </c>
      <c r="Q35" s="12" cm="1">
        <f t="array" ref="Q35">_xlfn.XLOOKUP(1,($BB$5:$BB$52="J")*($BL$5:$BL$52=4),$BF$5:$BF$52,"")</f>
        <v>0</v>
      </c>
      <c r="R35" s="12" cm="1">
        <f t="array" ref="R35">_xlfn.XLOOKUP(1,($BB$5:$BB$52="J")*($BL$5:$BL$52=4),$BG$5:$BG$52,"")</f>
        <v>0</v>
      </c>
      <c r="S35" s="12" cm="1">
        <f t="array" ref="S35">_xlfn.XLOOKUP(1,($BB$5:$BB$52="J")*($BL$5:$BL$52=4),$BH$5:$BH$52,"")</f>
        <v>0</v>
      </c>
      <c r="T35" s="12" cm="1">
        <f t="array" ref="T35">_xlfn.XLOOKUP(1,($BB$5:$BB$52="J")*($BL$5:$BL$52=4),$BI$5:$BI$52,"")</f>
        <v>0</v>
      </c>
      <c r="U35" s="12" cm="1">
        <f t="array" ref="U35">_xlfn.XLOOKUP(1,($BB$5:$BB$52="J")*($BL$5:$BL$52=4),$BJ$5:$BJ$52,"")</f>
        <v>0</v>
      </c>
      <c r="V35" s="12" cm="1">
        <f t="array" ref="V35">_xlfn.XLOOKUP(1,($BB$5:$BB$52="J")*($BL$5:$BL$52=4),$BK$5:$BK$52,"")</f>
        <v>0</v>
      </c>
      <c r="X35" s="12" t="str" cm="1">
        <f t="array" ref="X35">_xlfn.XLOOKUP(1,($BB$5:$BB$52="K")*($BL$5:$BL$52=4),$BC$5:$BC$52,"")</f>
        <v>Uzbekistan (Katia)</v>
      </c>
      <c r="Y35" s="12" cm="1">
        <f t="array" ref="Y35">_xlfn.XLOOKUP(1,($BB$5:$BB$52="K")*($BL$5:$BL$52=4),$BD$5:$BD$52,"")</f>
        <v>0</v>
      </c>
      <c r="Z35" s="12" cm="1">
        <f t="array" ref="Z35">_xlfn.XLOOKUP(1,($BB$5:$BB$52="K")*($BL$5:$BL$52=4),$BE$5:$BE$52,"")</f>
        <v>0</v>
      </c>
      <c r="AA35" s="12" cm="1">
        <f t="array" ref="AA35">_xlfn.XLOOKUP(1,($BB$5:$BB$52="K")*($BL$5:$BL$52=4),$BF$5:$BF$52,"")</f>
        <v>0</v>
      </c>
      <c r="AB35" s="12" cm="1">
        <f t="array" ref="AB35">_xlfn.XLOOKUP(1,($BB$5:$BB$52="K")*($BL$5:$BL$52=4),$BG$5:$BG$52,"")</f>
        <v>0</v>
      </c>
      <c r="AC35" s="12" cm="1">
        <f t="array" ref="AC35">_xlfn.XLOOKUP(1,($BB$5:$BB$52="K")*($BL$5:$BL$52=4),$BH$5:$BH$52,"")</f>
        <v>0</v>
      </c>
      <c r="AD35" s="12" cm="1">
        <f t="array" ref="AD35">_xlfn.XLOOKUP(1,($BB$5:$BB$52="K")*($BL$5:$BL$52=4),$BI$5:$BI$52,"")</f>
        <v>0</v>
      </c>
      <c r="AE35" s="12" cm="1">
        <f t="array" ref="AE35">_xlfn.XLOOKUP(1,($BB$5:$BB$52="K")*($BL$5:$BL$52=4),$BJ$5:$BJ$52,"")</f>
        <v>0</v>
      </c>
      <c r="AF35" s="12" cm="1">
        <f t="array" ref="AF35">_xlfn.XLOOKUP(1,($BB$5:$BB$52="K")*($BL$5:$BL$52=4),$BK$5:$BK$52,"")</f>
        <v>0</v>
      </c>
      <c r="AH35" s="12" t="str" cm="1">
        <f t="array" ref="AH35">_xlfn.XLOOKUP(1,($BB$5:$BB$52="L")*($BL$5:$BL$52=4),$BC$5:$BC$52,"")</f>
        <v>Panama (Mike)</v>
      </c>
      <c r="AI35" s="12" cm="1">
        <f t="array" ref="AI35">_xlfn.XLOOKUP(1,($BB$5:$BB$52="L")*($BL$5:$BL$52=4),$BD$5:$BD$52,"")</f>
        <v>0</v>
      </c>
      <c r="AJ35" s="12" cm="1">
        <f t="array" ref="AJ35">_xlfn.XLOOKUP(1,($BB$5:$BB$52="L")*($BL$5:$BL$52=4),$BE$5:$BE$52,"")</f>
        <v>0</v>
      </c>
      <c r="AK35" s="12" cm="1">
        <f t="array" ref="AK35">_xlfn.XLOOKUP(1,($BB$5:$BB$52="L")*($BL$5:$BL$52=4),$BF$5:$BF$52,"")</f>
        <v>0</v>
      </c>
      <c r="AL35" s="12" cm="1">
        <f t="array" ref="AL35">_xlfn.XLOOKUP(1,($BB$5:$BB$52="L")*($BL$5:$BL$52=4),$BG$5:$BG$52,"")</f>
        <v>0</v>
      </c>
      <c r="AM35" s="12" cm="1">
        <f t="array" ref="AM35">_xlfn.XLOOKUP(1,($BB$5:$BB$52="L")*($BL$5:$BL$52=4),$BH$5:$BH$52,"")</f>
        <v>0</v>
      </c>
      <c r="AN35" s="12" cm="1">
        <f t="array" ref="AN35">_xlfn.XLOOKUP(1,($BB$5:$BB$52="L")*($BL$5:$BL$52=4),$BI$5:$BI$52,"")</f>
        <v>0</v>
      </c>
      <c r="AO35" s="12" cm="1">
        <f t="array" ref="AO35">_xlfn.XLOOKUP(1,($BB$5:$BB$52="L")*($BL$5:$BL$52=4),$BJ$5:$BJ$52,"")</f>
        <v>0</v>
      </c>
      <c r="AP35" s="12" cm="1">
        <f t="array" ref="AP35">_xlfn.XLOOKUP(1,($BB$5:$BB$52="L")*($BL$5:$BL$52=4),$BK$5:$BK$52,"")</f>
        <v>0</v>
      </c>
      <c r="BB35" t="s">
        <v>117</v>
      </c>
      <c r="BC35" t="s">
        <v>253</v>
      </c>
      <c r="BD35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35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35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35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35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35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35">
        <f>GroupStandings[[#This Row],[GF]]-GroupStandings[[#This Row],[GA]]</f>
        <v>0</v>
      </c>
      <c r="BK35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35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2</v>
      </c>
    </row>
    <row r="36" spans="1:64" ht="16" x14ac:dyDescent="0.2">
      <c r="A36" s="29" t="s">
        <v>96</v>
      </c>
      <c r="B36" s="12" t="s">
        <v>123</v>
      </c>
      <c r="C36" s="22" t="s">
        <v>101</v>
      </c>
      <c r="D36" s="22" t="s">
        <v>103</v>
      </c>
      <c r="E36" s="18"/>
      <c r="F36" s="18"/>
      <c r="G36" s="12" t="str">
        <f>IF(AND(GroupFixtures[[#This Row],[Home Score]]&lt;&gt;"",GroupFixtures[[#This Row],[Away Score]]&lt;&gt;""),1,"")</f>
        <v/>
      </c>
      <c r="H36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36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36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36" s="12" t="s">
        <v>225</v>
      </c>
      <c r="L36" s="38">
        <v>0.125</v>
      </c>
      <c r="BB36" t="s">
        <v>117</v>
      </c>
      <c r="BC36" t="s">
        <v>260</v>
      </c>
      <c r="BD36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36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36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36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36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36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36">
        <f>GroupStandings[[#This Row],[GF]]-GroupStandings[[#This Row],[GA]]</f>
        <v>0</v>
      </c>
      <c r="BK36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36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4</v>
      </c>
    </row>
    <row r="37" spans="1:64" ht="16" x14ac:dyDescent="0.2">
      <c r="A37" s="29" t="s">
        <v>96</v>
      </c>
      <c r="B37" s="12" t="s">
        <v>125</v>
      </c>
      <c r="C37" s="22" t="s">
        <v>97</v>
      </c>
      <c r="D37" s="22" t="s">
        <v>101</v>
      </c>
      <c r="E37" s="18"/>
      <c r="F37" s="18"/>
      <c r="G37" s="12" t="str">
        <f>IF(AND(GroupFixtures[[#This Row],[Home Score]]&lt;&gt;"",GroupFixtures[[#This Row],[Away Score]]&lt;&gt;""),1,"")</f>
        <v/>
      </c>
      <c r="H37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37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37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37" s="12" t="s">
        <v>223</v>
      </c>
      <c r="L37" s="38">
        <v>0.75</v>
      </c>
      <c r="BB37" t="s">
        <v>126</v>
      </c>
      <c r="BC37" t="s">
        <v>297</v>
      </c>
      <c r="BD37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37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37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37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37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37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37">
        <f>GroupStandings[[#This Row],[GF]]-GroupStandings[[#This Row],[GA]]</f>
        <v>0</v>
      </c>
      <c r="BK37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37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1</v>
      </c>
    </row>
    <row r="38" spans="1:64" ht="16" x14ac:dyDescent="0.2">
      <c r="A38" s="29" t="s">
        <v>96</v>
      </c>
      <c r="B38" s="12" t="s">
        <v>128</v>
      </c>
      <c r="C38" s="22" t="s">
        <v>103</v>
      </c>
      <c r="D38" s="22" t="s">
        <v>99</v>
      </c>
      <c r="E38" s="18"/>
      <c r="F38" s="18"/>
      <c r="G38" s="12" t="str">
        <f>IF(AND(GroupFixtures[[#This Row],[Home Score]]&lt;&gt;"",GroupFixtures[[#This Row],[Away Score]]&lt;&gt;""),1,"")</f>
        <v/>
      </c>
      <c r="H38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38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38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38" s="12" t="s">
        <v>226</v>
      </c>
      <c r="L38" s="38">
        <v>0.20833333333333334</v>
      </c>
      <c r="BB38" t="s">
        <v>126</v>
      </c>
      <c r="BC38" t="s">
        <v>281</v>
      </c>
      <c r="BD38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38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38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38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38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38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38">
        <f>GroupStandings[[#This Row],[GF]]-GroupStandings[[#This Row],[GA]]</f>
        <v>0</v>
      </c>
      <c r="BK38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38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4</v>
      </c>
    </row>
    <row r="39" spans="1:64" ht="16" x14ac:dyDescent="0.2">
      <c r="A39" s="29" t="s">
        <v>96</v>
      </c>
      <c r="B39" s="12" t="s">
        <v>130</v>
      </c>
      <c r="C39" s="22" t="s">
        <v>103</v>
      </c>
      <c r="D39" s="22" t="s">
        <v>97</v>
      </c>
      <c r="E39" s="18"/>
      <c r="F39" s="18"/>
      <c r="G39" s="12" t="str">
        <f>IF(AND(GroupFixtures[[#This Row],[Home Score]]&lt;&gt;"",GroupFixtures[[#This Row],[Away Score]]&lt;&gt;""),1,"")</f>
        <v/>
      </c>
      <c r="H39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39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39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39" s="12" t="s">
        <v>224</v>
      </c>
      <c r="L39" s="38">
        <v>0</v>
      </c>
      <c r="BB39" t="s">
        <v>126</v>
      </c>
      <c r="BC39" t="s">
        <v>287</v>
      </c>
      <c r="BD39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39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39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39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39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39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39">
        <f>GroupStandings[[#This Row],[GF]]-GroupStandings[[#This Row],[GA]]</f>
        <v>0</v>
      </c>
      <c r="BK39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39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2</v>
      </c>
    </row>
    <row r="40" spans="1:64" ht="16" x14ac:dyDescent="0.2">
      <c r="A40" s="29" t="s">
        <v>96</v>
      </c>
      <c r="B40" s="12" t="s">
        <v>132</v>
      </c>
      <c r="C40" s="22" t="s">
        <v>99</v>
      </c>
      <c r="D40" s="22" t="s">
        <v>101</v>
      </c>
      <c r="E40" s="18"/>
      <c r="F40" s="18"/>
      <c r="G40" s="12" t="str">
        <f>IF(AND(GroupFixtures[[#This Row],[Home Score]]&lt;&gt;"",GroupFixtures[[#This Row],[Away Score]]&lt;&gt;""),1,"")</f>
        <v/>
      </c>
      <c r="H40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40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40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40" s="12" t="s">
        <v>224</v>
      </c>
      <c r="L40" s="38">
        <v>0</v>
      </c>
      <c r="BB40" t="s">
        <v>126</v>
      </c>
      <c r="BC40" t="s">
        <v>257</v>
      </c>
      <c r="BD40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40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40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40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40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40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40">
        <f>GroupStandings[[#This Row],[GF]]-GroupStandings[[#This Row],[GA]]</f>
        <v>0</v>
      </c>
      <c r="BK40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40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3</v>
      </c>
    </row>
    <row r="41" spans="1:64" ht="16" x14ac:dyDescent="0.2">
      <c r="A41" s="29" t="s">
        <v>105</v>
      </c>
      <c r="B41" s="12" t="s">
        <v>134</v>
      </c>
      <c r="C41" s="22" t="s">
        <v>106</v>
      </c>
      <c r="D41" s="22" t="s">
        <v>111</v>
      </c>
      <c r="E41" s="18"/>
      <c r="F41" s="18"/>
      <c r="G41" s="12" t="str">
        <f>IF(AND(GroupFixtures[[#This Row],[Home Score]]&lt;&gt;"",GroupFixtures[[#This Row],[Away Score]]&lt;&gt;""),1,"")</f>
        <v/>
      </c>
      <c r="H41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41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41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41" s="12" t="s">
        <v>225</v>
      </c>
      <c r="L41" s="38">
        <v>0.83333333333333337</v>
      </c>
      <c r="BB41" t="s">
        <v>135</v>
      </c>
      <c r="BC41" t="s">
        <v>265</v>
      </c>
      <c r="BD41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41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41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41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41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41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41">
        <f>GroupStandings[[#This Row],[GF]]-GroupStandings[[#This Row],[GA]]</f>
        <v>0</v>
      </c>
      <c r="BK41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41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2</v>
      </c>
    </row>
    <row r="42" spans="1:64" ht="16" x14ac:dyDescent="0.2">
      <c r="A42" s="29" t="s">
        <v>105</v>
      </c>
      <c r="B42" s="12" t="s">
        <v>137</v>
      </c>
      <c r="C42" s="22" t="s">
        <v>113</v>
      </c>
      <c r="D42" s="22" t="s">
        <v>115</v>
      </c>
      <c r="E42" s="18"/>
      <c r="F42" s="18"/>
      <c r="G42" s="12" t="str">
        <f>IF(AND(GroupFixtures[[#This Row],[Home Score]]&lt;&gt;"",GroupFixtures[[#This Row],[Away Score]]&lt;&gt;""),1,"")</f>
        <v/>
      </c>
      <c r="H42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42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42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42" s="12" t="s">
        <v>227</v>
      </c>
      <c r="L42" s="38">
        <v>8.3333333333333329E-2</v>
      </c>
      <c r="BB42" t="s">
        <v>135</v>
      </c>
      <c r="BC42" t="s">
        <v>288</v>
      </c>
      <c r="BD42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42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42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42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42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42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42">
        <f>GroupStandings[[#This Row],[GF]]-GroupStandings[[#This Row],[GA]]</f>
        <v>0</v>
      </c>
      <c r="BK42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42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1</v>
      </c>
    </row>
    <row r="43" spans="1:64" ht="16" x14ac:dyDescent="0.2">
      <c r="A43" s="29" t="s">
        <v>105</v>
      </c>
      <c r="B43" s="12" t="s">
        <v>139</v>
      </c>
      <c r="C43" s="22" t="s">
        <v>106</v>
      </c>
      <c r="D43" s="22" t="s">
        <v>113</v>
      </c>
      <c r="E43" s="18"/>
      <c r="F43" s="18"/>
      <c r="G43" s="12" t="str">
        <f>IF(AND(GroupFixtures[[#This Row],[Home Score]]&lt;&gt;"",GroupFixtures[[#This Row],[Away Score]]&lt;&gt;""),1,"")</f>
        <v/>
      </c>
      <c r="H43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43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43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43" s="12" t="s">
        <v>226</v>
      </c>
      <c r="L43" s="38">
        <v>0.83333333333333337</v>
      </c>
      <c r="BB43" t="s">
        <v>135</v>
      </c>
      <c r="BC43" t="s">
        <v>254</v>
      </c>
      <c r="BD43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43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43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43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43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43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43">
        <f>GroupStandings[[#This Row],[GF]]-GroupStandings[[#This Row],[GA]]</f>
        <v>0</v>
      </c>
      <c r="BK43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43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3</v>
      </c>
    </row>
    <row r="44" spans="1:64" ht="16" x14ac:dyDescent="0.2">
      <c r="A44" s="29" t="s">
        <v>105</v>
      </c>
      <c r="B44" s="12" t="s">
        <v>141</v>
      </c>
      <c r="C44" s="22" t="s">
        <v>115</v>
      </c>
      <c r="D44" s="22" t="s">
        <v>111</v>
      </c>
      <c r="E44" s="18"/>
      <c r="F44" s="18"/>
      <c r="G44" s="12" t="str">
        <f>IF(AND(GroupFixtures[[#This Row],[Home Score]]&lt;&gt;"",GroupFixtures[[#This Row],[Away Score]]&lt;&gt;""),1,"")</f>
        <v/>
      </c>
      <c r="H44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44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44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44" s="12" t="s">
        <v>228</v>
      </c>
      <c r="L44" s="38">
        <v>8.3333333333333329E-2</v>
      </c>
      <c r="BB44" t="s">
        <v>135</v>
      </c>
      <c r="BC44" t="s">
        <v>293</v>
      </c>
      <c r="BD44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44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44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44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44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44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44">
        <f>GroupStandings[[#This Row],[GF]]-GroupStandings[[#This Row],[GA]]</f>
        <v>0</v>
      </c>
      <c r="BK44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44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4</v>
      </c>
    </row>
    <row r="45" spans="1:64" ht="16" x14ac:dyDescent="0.2">
      <c r="A45" s="29" t="s">
        <v>105</v>
      </c>
      <c r="B45" s="12" t="s">
        <v>143</v>
      </c>
      <c r="C45" s="22" t="s">
        <v>115</v>
      </c>
      <c r="D45" s="22" t="s">
        <v>106</v>
      </c>
      <c r="E45" s="18"/>
      <c r="F45" s="18"/>
      <c r="G45" s="12" t="str">
        <f>IF(AND(GroupFixtures[[#This Row],[Home Score]]&lt;&gt;"",GroupFixtures[[#This Row],[Away Score]]&lt;&gt;""),1,"")</f>
        <v/>
      </c>
      <c r="H45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45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45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45" s="12" t="s">
        <v>229</v>
      </c>
      <c r="L45" s="38">
        <v>0.16666666666666666</v>
      </c>
      <c r="BB45" t="s">
        <v>144</v>
      </c>
      <c r="BC45" t="s">
        <v>277</v>
      </c>
      <c r="BD45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45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45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45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45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45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45">
        <f>GroupStandings[[#This Row],[GF]]-GroupStandings[[#This Row],[GA]]</f>
        <v>0</v>
      </c>
      <c r="BK45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45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3</v>
      </c>
    </row>
    <row r="46" spans="1:64" ht="16" x14ac:dyDescent="0.2">
      <c r="A46" s="29" t="s">
        <v>105</v>
      </c>
      <c r="B46" s="12" t="s">
        <v>146</v>
      </c>
      <c r="C46" s="22" t="s">
        <v>111</v>
      </c>
      <c r="D46" s="22" t="s">
        <v>113</v>
      </c>
      <c r="E46" s="18"/>
      <c r="F46" s="18"/>
      <c r="G46" s="12" t="str">
        <f>IF(AND(GroupFixtures[[#This Row],[Home Score]]&lt;&gt;"",GroupFixtures[[#This Row],[Away Score]]&lt;&gt;""),1,"")</f>
        <v/>
      </c>
      <c r="H46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46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46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46" s="12" t="s">
        <v>229</v>
      </c>
      <c r="L46" s="38">
        <v>0.16666666666666666</v>
      </c>
      <c r="BB46" t="s">
        <v>144</v>
      </c>
      <c r="BC46" t="s">
        <v>298</v>
      </c>
      <c r="BD46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46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46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46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46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46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46">
        <f>GroupStandings[[#This Row],[GF]]-GroupStandings[[#This Row],[GA]]</f>
        <v>0</v>
      </c>
      <c r="BK46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46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2</v>
      </c>
    </row>
    <row r="47" spans="1:64" ht="16" x14ac:dyDescent="0.2">
      <c r="A47" s="29" t="s">
        <v>117</v>
      </c>
      <c r="B47" s="12" t="s">
        <v>148</v>
      </c>
      <c r="C47" s="22" t="s">
        <v>118</v>
      </c>
      <c r="D47" s="22" t="s">
        <v>120</v>
      </c>
      <c r="E47" s="18"/>
      <c r="F47" s="18"/>
      <c r="G47" s="12" t="str">
        <f>IF(AND(GroupFixtures[[#This Row],[Home Score]]&lt;&gt;"",GroupFixtures[[#This Row],[Away Score]]&lt;&gt;""),1,"")</f>
        <v/>
      </c>
      <c r="H47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47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47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47" s="12" t="s">
        <v>225</v>
      </c>
      <c r="L47" s="38">
        <v>0.70833333333333337</v>
      </c>
      <c r="BB47" t="s">
        <v>144</v>
      </c>
      <c r="BC47" t="s">
        <v>266</v>
      </c>
      <c r="BD47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47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47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47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47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47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47">
        <f>GroupStandings[[#This Row],[GF]]-GroupStandings[[#This Row],[GA]]</f>
        <v>0</v>
      </c>
      <c r="BK47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47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4</v>
      </c>
    </row>
    <row r="48" spans="1:64" ht="16" x14ac:dyDescent="0.2">
      <c r="A48" s="29" t="s">
        <v>117</v>
      </c>
      <c r="B48" s="12" t="s">
        <v>150</v>
      </c>
      <c r="C48" s="22" t="s">
        <v>122</v>
      </c>
      <c r="D48" s="22" t="s">
        <v>124</v>
      </c>
      <c r="E48" s="18"/>
      <c r="F48" s="18"/>
      <c r="G48" s="12" t="str">
        <f>IF(AND(GroupFixtures[[#This Row],[Home Score]]&lt;&gt;"",GroupFixtures[[#This Row],[Away Score]]&lt;&gt;""),1,"")</f>
        <v/>
      </c>
      <c r="H48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48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48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48" s="12" t="s">
        <v>225</v>
      </c>
      <c r="L48" s="38">
        <v>0.95833333333333337</v>
      </c>
      <c r="BB48" t="s">
        <v>144</v>
      </c>
      <c r="BC48" t="s">
        <v>270</v>
      </c>
      <c r="BD48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48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48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48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48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48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48">
        <f>GroupStandings[[#This Row],[GF]]-GroupStandings[[#This Row],[GA]]</f>
        <v>0</v>
      </c>
      <c r="BK48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48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1</v>
      </c>
    </row>
    <row r="49" spans="1:64" ht="16" x14ac:dyDescent="0.2">
      <c r="A49" s="29" t="s">
        <v>117</v>
      </c>
      <c r="B49" s="12" t="s">
        <v>152</v>
      </c>
      <c r="C49" s="22" t="s">
        <v>118</v>
      </c>
      <c r="D49" s="22" t="s">
        <v>122</v>
      </c>
      <c r="E49" s="18"/>
      <c r="F49" s="18"/>
      <c r="G49" s="12" t="str">
        <f>IF(AND(GroupFixtures[[#This Row],[Home Score]]&lt;&gt;"",GroupFixtures[[#This Row],[Away Score]]&lt;&gt;""),1,"")</f>
        <v/>
      </c>
      <c r="H49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49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49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49" s="12" t="s">
        <v>226</v>
      </c>
      <c r="L49" s="38">
        <v>0.70833333333333337</v>
      </c>
      <c r="BB49" t="s">
        <v>36</v>
      </c>
      <c r="BC49" t="s">
        <v>267</v>
      </c>
      <c r="BD49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49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49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49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49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49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49">
        <f>GroupStandings[[#This Row],[GF]]-GroupStandings[[#This Row],[GA]]</f>
        <v>0</v>
      </c>
      <c r="BK49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49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2</v>
      </c>
    </row>
    <row r="50" spans="1:64" ht="16" x14ac:dyDescent="0.2">
      <c r="A50" s="29" t="s">
        <v>117</v>
      </c>
      <c r="B50" s="12" t="s">
        <v>154</v>
      </c>
      <c r="C50" s="22" t="s">
        <v>124</v>
      </c>
      <c r="D50" s="22" t="s">
        <v>120</v>
      </c>
      <c r="E50" s="18"/>
      <c r="F50" s="18"/>
      <c r="G50" s="12" t="str">
        <f>IF(AND(GroupFixtures[[#This Row],[Home Score]]&lt;&gt;"",GroupFixtures[[#This Row],[Away Score]]&lt;&gt;""),1,"")</f>
        <v/>
      </c>
      <c r="H50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50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50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50" s="12" t="s">
        <v>226</v>
      </c>
      <c r="L50" s="38">
        <v>0.95833333333333337</v>
      </c>
      <c r="BB50" t="s">
        <v>36</v>
      </c>
      <c r="BC50" t="s">
        <v>291</v>
      </c>
      <c r="BD50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50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50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50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50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50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50">
        <f>GroupStandings[[#This Row],[GF]]-GroupStandings[[#This Row],[GA]]</f>
        <v>0</v>
      </c>
      <c r="BK50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50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1</v>
      </c>
    </row>
    <row r="51" spans="1:64" ht="16" x14ac:dyDescent="0.2">
      <c r="A51" s="29" t="s">
        <v>117</v>
      </c>
      <c r="B51" s="12" t="s">
        <v>156</v>
      </c>
      <c r="C51" s="22" t="s">
        <v>124</v>
      </c>
      <c r="D51" s="22" t="s">
        <v>118</v>
      </c>
      <c r="E51" s="18"/>
      <c r="F51" s="18"/>
      <c r="G51" s="12" t="str">
        <f>IF(AND(GroupFixtures[[#This Row],[Home Score]]&lt;&gt;"",GroupFixtures[[#This Row],[Away Score]]&lt;&gt;""),1,"")</f>
        <v/>
      </c>
      <c r="H51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51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51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51" s="12" t="s">
        <v>229</v>
      </c>
      <c r="L51" s="38">
        <v>4.1666666666666664E-2</v>
      </c>
      <c r="BB51" t="s">
        <v>36</v>
      </c>
      <c r="BC51" t="s">
        <v>294</v>
      </c>
      <c r="BD51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51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51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51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51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51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51">
        <f>GroupStandings[[#This Row],[GF]]-GroupStandings[[#This Row],[GA]]</f>
        <v>0</v>
      </c>
      <c r="BK51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51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3</v>
      </c>
    </row>
    <row r="52" spans="1:64" ht="16" x14ac:dyDescent="0.2">
      <c r="A52" s="29" t="s">
        <v>117</v>
      </c>
      <c r="B52" s="12" t="s">
        <v>158</v>
      </c>
      <c r="C52" s="22" t="s">
        <v>120</v>
      </c>
      <c r="D52" s="22" t="s">
        <v>122</v>
      </c>
      <c r="E52" s="18"/>
      <c r="F52" s="18"/>
      <c r="G52" s="12" t="str">
        <f>IF(AND(GroupFixtures[[#This Row],[Home Score]]&lt;&gt;"",GroupFixtures[[#This Row],[Away Score]]&lt;&gt;""),1,"")</f>
        <v/>
      </c>
      <c r="H52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52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52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52" s="12" t="s">
        <v>229</v>
      </c>
      <c r="L52" s="38">
        <v>4.1666666666666664E-2</v>
      </c>
      <c r="BB52" t="s">
        <v>36</v>
      </c>
      <c r="BC52" t="s">
        <v>279</v>
      </c>
      <c r="BD52">
        <f>COUNTIFS(GroupFixtures[Group],GroupStandings[[#This Row],[Group]],GroupFixtures[Home],GroupStandings[[#This Row],[Team]],GroupFixtures[Played],1)+COUNTIFS(GroupFixtures[Group],GroupStandings[[#This Row],[Group]],GroupFixtures[Away],GroupStandings[[#This Row],[Team]],GroupFixtures[Played],1)</f>
        <v>0</v>
      </c>
      <c r="BE52">
        <f>COUNTIFS(GroupFixtures[Group],GroupStandings[[#This Row],[Group]],GroupFixtures[Home],GroupStandings[[#This Row],[Team]],GroupFixtures[Result],"H")+COUNTIFS(GroupFixtures[Group],GroupStandings[[#This Row],[Group]],GroupFixtures[Away],GroupStandings[[#This Row],[Team]],GroupFixtures[Result],"A")</f>
        <v>0</v>
      </c>
      <c r="BF52">
        <f>COUNTIFS(GroupFixtures[Group],GroupStandings[[#This Row],[Group]],GroupFixtures[Home],GroupStandings[[#This Row],[Team]],GroupFixtures[Result],"D")+COUNTIFS(GroupFixtures[Group],GroupStandings[[#This Row],[Group]],GroupFixtures[Away],GroupStandings[[#This Row],[Team]],GroupFixtures[Result],"D")</f>
        <v>0</v>
      </c>
      <c r="BG52">
        <f>COUNTIFS(GroupFixtures[Group],GroupStandings[[#This Row],[Group]],GroupFixtures[Home],GroupStandings[[#This Row],[Team]],GroupFixtures[Result],"A")+COUNTIFS(GroupFixtures[Group],GroupStandings[[#This Row],[Group]],GroupFixtures[Away],GroupStandings[[#This Row],[Team]],GroupFixtures[Result],"H")</f>
        <v>0</v>
      </c>
      <c r="BH52">
        <f>SUMIFS(GroupFixtures[Home Score],GroupFixtures[Group],GroupStandings[[#This Row],[Group]],GroupFixtures[Home],GroupStandings[[#This Row],[Team]])+SUMIFS(GroupFixtures[Away Score],GroupFixtures[Group],GroupStandings[[#This Row],[Group]],GroupFixtures[Away],GroupStandings[[#This Row],[Team]])</f>
        <v>0</v>
      </c>
      <c r="BI52">
        <f>SUMIFS(GroupFixtures[Away Score],GroupFixtures[Group],GroupStandings[[#This Row],[Group]],GroupFixtures[Home],GroupStandings[[#This Row],[Team]])+SUMIFS(GroupFixtures[Home Score],GroupFixtures[Group],GroupStandings[[#This Row],[Group]],GroupFixtures[Away],GroupStandings[[#This Row],[Team]])</f>
        <v>0</v>
      </c>
      <c r="BJ52">
        <f>GroupStandings[[#This Row],[GF]]-GroupStandings[[#This Row],[GA]]</f>
        <v>0</v>
      </c>
      <c r="BK52">
        <f>SUMIFS(GroupFixtures[Home Pts],GroupFixtures[Group],GroupStandings[[#This Row],[Group]],GroupFixtures[Home],GroupStandings[[#This Row],[Team]])+SUMIFS(GroupFixtures[Away Pts],GroupFixtures[Group],GroupStandings[[#This Row],[Group]],GroupFixtures[Away],GroupStandings[[#This Row],[Team]])</f>
        <v>0</v>
      </c>
      <c r="BL52">
        <f>1+COUNTIFS(GroupStandings[Group],GroupStandings[[#This Row],[Group]],GroupStandings[Pts],"&gt;"&amp;GroupStandings[[#This Row],[Pts]])+COUNTIFS(GroupStandings[Group],GroupStandings[[#This Row],[Group]],GroupStandings[Pts],GroupStandings[[#This Row],[Pts]],GroupStandings[GD],"&gt;"&amp;GroupStandings[[#This Row],[GD]])+COUNTIFS(GroupStandings[Group],GroupStandings[[#This Row],[Group]],GroupStandings[Pts],GroupStandings[[#This Row],[Pts]],GroupStandings[GD],GroupStandings[[#This Row],[GD]],GroupStandings[GF],"&gt;"&amp;GroupStandings[[#This Row],[GF]])+COUNTIFS(GroupStandings[Group],GroupStandings[[#This Row],[Group]],GroupStandings[Pts],GroupStandings[[#This Row],[Pts]],GroupStandings[GD],GroupStandings[[#This Row],[GD]],GroupStandings[GF],GroupStandings[[#This Row],[GF]],GroupStandings[Team],"&lt;"&amp;GroupStandings[[#This Row],[Team]])</f>
        <v>4</v>
      </c>
    </row>
    <row r="53" spans="1:64" ht="16" x14ac:dyDescent="0.2">
      <c r="A53" s="29" t="s">
        <v>126</v>
      </c>
      <c r="B53" s="12" t="s">
        <v>160</v>
      </c>
      <c r="C53" s="22" t="s">
        <v>127</v>
      </c>
      <c r="D53" s="22" t="s">
        <v>129</v>
      </c>
      <c r="E53" s="18"/>
      <c r="F53" s="18"/>
      <c r="G53" s="12" t="str">
        <f>IF(AND(GroupFixtures[[#This Row],[Home Score]]&lt;&gt;"",GroupFixtures[[#This Row],[Away Score]]&lt;&gt;""),1,"")</f>
        <v/>
      </c>
      <c r="H53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53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53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53" s="12" t="s">
        <v>227</v>
      </c>
      <c r="L53" s="38">
        <v>0.83333333333333337</v>
      </c>
    </row>
    <row r="54" spans="1:64" ht="16" x14ac:dyDescent="0.2">
      <c r="A54" s="29" t="s">
        <v>126</v>
      </c>
      <c r="B54" s="12" t="s">
        <v>161</v>
      </c>
      <c r="C54" s="22" t="s">
        <v>131</v>
      </c>
      <c r="D54" s="22" t="s">
        <v>133</v>
      </c>
      <c r="E54" s="18"/>
      <c r="F54" s="18"/>
      <c r="G54" s="12" t="str">
        <f>IF(AND(GroupFixtures[[#This Row],[Home Score]]&lt;&gt;"",GroupFixtures[[#This Row],[Away Score]]&lt;&gt;""),1,"")</f>
        <v/>
      </c>
      <c r="H54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54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54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54" s="12" t="s">
        <v>227</v>
      </c>
      <c r="L54" s="38">
        <v>0.95833333333333337</v>
      </c>
    </row>
    <row r="55" spans="1:64" ht="16" x14ac:dyDescent="0.2">
      <c r="A55" s="29" t="s">
        <v>126</v>
      </c>
      <c r="B55" s="12" t="s">
        <v>162</v>
      </c>
      <c r="C55" s="22" t="s">
        <v>127</v>
      </c>
      <c r="D55" s="22" t="s">
        <v>131</v>
      </c>
      <c r="E55" s="18"/>
      <c r="F55" s="18"/>
      <c r="G55" s="12" t="str">
        <f>IF(AND(GroupFixtures[[#This Row],[Home Score]]&lt;&gt;"",GroupFixtures[[#This Row],[Away Score]]&lt;&gt;""),1,"")</f>
        <v/>
      </c>
      <c r="H55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55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55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55" s="12" t="s">
        <v>228</v>
      </c>
      <c r="L55" s="38">
        <v>0.91666666666666663</v>
      </c>
    </row>
    <row r="56" spans="1:64" ht="16" x14ac:dyDescent="0.2">
      <c r="A56" s="29" t="s">
        <v>126</v>
      </c>
      <c r="B56" s="12" t="s">
        <v>163</v>
      </c>
      <c r="C56" s="22" t="s">
        <v>133</v>
      </c>
      <c r="D56" s="22" t="s">
        <v>129</v>
      </c>
      <c r="E56" s="18"/>
      <c r="F56" s="18"/>
      <c r="G56" s="12" t="str">
        <f>IF(AND(GroupFixtures[[#This Row],[Home Score]]&lt;&gt;"",GroupFixtures[[#This Row],[Away Score]]&lt;&gt;""),1,"")</f>
        <v/>
      </c>
      <c r="H56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56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56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56" s="12" t="s">
        <v>230</v>
      </c>
      <c r="L56" s="38">
        <v>4.1666666666666664E-2</v>
      </c>
    </row>
    <row r="57" spans="1:64" ht="16" x14ac:dyDescent="0.2">
      <c r="A57" s="29" t="s">
        <v>126</v>
      </c>
      <c r="B57" s="12" t="s">
        <v>164</v>
      </c>
      <c r="C57" s="22" t="s">
        <v>133</v>
      </c>
      <c r="D57" s="22" t="s">
        <v>127</v>
      </c>
      <c r="E57" s="18"/>
      <c r="F57" s="18"/>
      <c r="G57" s="12" t="str">
        <f>IF(AND(GroupFixtures[[#This Row],[Home Score]]&lt;&gt;"",GroupFixtures[[#This Row],[Away Score]]&lt;&gt;""),1,"")</f>
        <v/>
      </c>
      <c r="H57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57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57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57" s="12" t="s">
        <v>224</v>
      </c>
      <c r="L57" s="38">
        <v>0.83333333333333337</v>
      </c>
    </row>
    <row r="58" spans="1:64" ht="16" x14ac:dyDescent="0.2">
      <c r="A58" s="29" t="s">
        <v>126</v>
      </c>
      <c r="B58" s="12" t="s">
        <v>165</v>
      </c>
      <c r="C58" s="22" t="s">
        <v>129</v>
      </c>
      <c r="D58" s="22" t="s">
        <v>131</v>
      </c>
      <c r="E58" s="18"/>
      <c r="F58" s="18"/>
      <c r="G58" s="12" t="str">
        <f>IF(AND(GroupFixtures[[#This Row],[Home Score]]&lt;&gt;"",GroupFixtures[[#This Row],[Away Score]]&lt;&gt;""),1,"")</f>
        <v/>
      </c>
      <c r="H58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58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58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58" s="12" t="s">
        <v>224</v>
      </c>
      <c r="L58" s="38">
        <v>0.83333333333333337</v>
      </c>
    </row>
    <row r="59" spans="1:64" ht="16" x14ac:dyDescent="0.2">
      <c r="A59" s="29" t="s">
        <v>135</v>
      </c>
      <c r="B59" s="12" t="s">
        <v>166</v>
      </c>
      <c r="C59" s="22" t="s">
        <v>136</v>
      </c>
      <c r="D59" s="22" t="s">
        <v>138</v>
      </c>
      <c r="E59" s="18"/>
      <c r="F59" s="18"/>
      <c r="G59" s="12" t="str">
        <f>IF(AND(GroupFixtures[[#This Row],[Home Score]]&lt;&gt;"",GroupFixtures[[#This Row],[Away Score]]&lt;&gt;""),1,"")</f>
        <v/>
      </c>
      <c r="H59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59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59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59" s="12" t="s">
        <v>231</v>
      </c>
      <c r="L59" s="38">
        <v>8.3333333333333329E-2</v>
      </c>
    </row>
    <row r="60" spans="1:64" ht="16" x14ac:dyDescent="0.2">
      <c r="A60" s="29" t="s">
        <v>135</v>
      </c>
      <c r="B60" s="12" t="s">
        <v>167</v>
      </c>
      <c r="C60" s="22" t="s">
        <v>140</v>
      </c>
      <c r="D60" s="22" t="s">
        <v>142</v>
      </c>
      <c r="E60" s="18"/>
      <c r="F60" s="18"/>
      <c r="G60" s="12" t="str">
        <f>IF(AND(GroupFixtures[[#This Row],[Home Score]]&lt;&gt;"",GroupFixtures[[#This Row],[Away Score]]&lt;&gt;""),1,"")</f>
        <v/>
      </c>
      <c r="H60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60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60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60" s="12" t="s">
        <v>231</v>
      </c>
      <c r="L60" s="38">
        <v>0.20833333333333334</v>
      </c>
    </row>
    <row r="61" spans="1:64" ht="16" x14ac:dyDescent="0.2">
      <c r="A61" s="29" t="s">
        <v>135</v>
      </c>
      <c r="B61" s="12" t="s">
        <v>168</v>
      </c>
      <c r="C61" s="22" t="s">
        <v>136</v>
      </c>
      <c r="D61" s="22" t="s">
        <v>140</v>
      </c>
      <c r="E61" s="18"/>
      <c r="F61" s="18"/>
      <c r="G61" s="12" t="str">
        <f>IF(AND(GroupFixtures[[#This Row],[Home Score]]&lt;&gt;"",GroupFixtures[[#This Row],[Away Score]]&lt;&gt;""),1,"")</f>
        <v/>
      </c>
      <c r="H61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61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61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61" s="12" t="s">
        <v>228</v>
      </c>
      <c r="L61" s="38">
        <v>0.75</v>
      </c>
    </row>
    <row r="62" spans="1:64" ht="16" x14ac:dyDescent="0.2">
      <c r="A62" s="29" t="s">
        <v>135</v>
      </c>
      <c r="B62" s="12" t="s">
        <v>169</v>
      </c>
      <c r="C62" s="22" t="s">
        <v>142</v>
      </c>
      <c r="D62" s="22" t="s">
        <v>138</v>
      </c>
      <c r="E62" s="18"/>
      <c r="F62" s="18"/>
      <c r="G62" s="12" t="str">
        <f>IF(AND(GroupFixtures[[#This Row],[Home Score]]&lt;&gt;"",GroupFixtures[[#This Row],[Away Score]]&lt;&gt;""),1,"")</f>
        <v/>
      </c>
      <c r="H62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62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62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62" s="12" t="s">
        <v>230</v>
      </c>
      <c r="L62" s="38">
        <v>0.16666666666666666</v>
      </c>
    </row>
    <row r="63" spans="1:64" ht="16" x14ac:dyDescent="0.2">
      <c r="A63" s="29" t="s">
        <v>135</v>
      </c>
      <c r="B63" s="12" t="s">
        <v>170</v>
      </c>
      <c r="C63" s="22" t="s">
        <v>142</v>
      </c>
      <c r="D63" s="22" t="s">
        <v>136</v>
      </c>
      <c r="E63" s="18"/>
      <c r="F63" s="18"/>
      <c r="G63" s="12" t="str">
        <f>IF(AND(GroupFixtures[[#This Row],[Home Score]]&lt;&gt;"",GroupFixtures[[#This Row],[Away Score]]&lt;&gt;""),1,"")</f>
        <v/>
      </c>
      <c r="H63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63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63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63" s="12" t="s">
        <v>232</v>
      </c>
      <c r="L63" s="38">
        <v>0.125</v>
      </c>
    </row>
    <row r="64" spans="1:64" ht="16" x14ac:dyDescent="0.2">
      <c r="A64" s="29" t="s">
        <v>135</v>
      </c>
      <c r="B64" s="12" t="s">
        <v>171</v>
      </c>
      <c r="C64" s="22" t="s">
        <v>138</v>
      </c>
      <c r="D64" s="22" t="s">
        <v>140</v>
      </c>
      <c r="E64" s="18"/>
      <c r="F64" s="18"/>
      <c r="G64" s="12" t="str">
        <f>IF(AND(GroupFixtures[[#This Row],[Home Score]]&lt;&gt;"",GroupFixtures[[#This Row],[Away Score]]&lt;&gt;""),1,"")</f>
        <v/>
      </c>
      <c r="H64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64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64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64" s="12" t="s">
        <v>232</v>
      </c>
      <c r="L64" s="38">
        <v>0.125</v>
      </c>
    </row>
    <row r="65" spans="1:12" ht="16" x14ac:dyDescent="0.2">
      <c r="A65" s="29" t="s">
        <v>144</v>
      </c>
      <c r="B65" s="12" t="s">
        <v>172</v>
      </c>
      <c r="C65" s="22" t="s">
        <v>145</v>
      </c>
      <c r="D65" s="22" t="s">
        <v>147</v>
      </c>
      <c r="E65" s="18"/>
      <c r="F65" s="18"/>
      <c r="G65" s="12" t="str">
        <f>IF(AND(GroupFixtures[[#This Row],[Home Score]]&lt;&gt;"",GroupFixtures[[#This Row],[Away Score]]&lt;&gt;""),1,"")</f>
        <v/>
      </c>
      <c r="H65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65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65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65" s="12" t="s">
        <v>231</v>
      </c>
      <c r="L65" s="38">
        <v>0.75</v>
      </c>
    </row>
    <row r="66" spans="1:12" ht="16" x14ac:dyDescent="0.2">
      <c r="A66" s="29" t="s">
        <v>144</v>
      </c>
      <c r="B66" s="12" t="s">
        <v>173</v>
      </c>
      <c r="C66" s="22" t="s">
        <v>149</v>
      </c>
      <c r="D66" s="22" t="s">
        <v>151</v>
      </c>
      <c r="E66" s="18"/>
      <c r="F66" s="18"/>
      <c r="G66" s="12" t="str">
        <f>IF(AND(GroupFixtures[[#This Row],[Home Score]]&lt;&gt;"",GroupFixtures[[#This Row],[Away Score]]&lt;&gt;""),1,"")</f>
        <v/>
      </c>
      <c r="H66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66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66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66" s="12" t="s">
        <v>217</v>
      </c>
      <c r="L66" s="38">
        <v>0.125</v>
      </c>
    </row>
    <row r="67" spans="1:12" ht="16" x14ac:dyDescent="0.2">
      <c r="A67" s="29" t="s">
        <v>144</v>
      </c>
      <c r="B67" s="12" t="s">
        <v>174</v>
      </c>
      <c r="C67" s="22" t="s">
        <v>145</v>
      </c>
      <c r="D67" s="22" t="s">
        <v>149</v>
      </c>
      <c r="E67" s="18"/>
      <c r="F67" s="18"/>
      <c r="G67" s="12" t="str">
        <f>IF(AND(GroupFixtures[[#This Row],[Home Score]]&lt;&gt;"",GroupFixtures[[#This Row],[Away Score]]&lt;&gt;""),1,"")</f>
        <v/>
      </c>
      <c r="H67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67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67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67" s="12" t="s">
        <v>230</v>
      </c>
      <c r="L67" s="38">
        <v>0.75</v>
      </c>
    </row>
    <row r="68" spans="1:12" ht="16" x14ac:dyDescent="0.2">
      <c r="A68" s="29" t="s">
        <v>144</v>
      </c>
      <c r="B68" s="12" t="s">
        <v>175</v>
      </c>
      <c r="C68" s="22" t="s">
        <v>204</v>
      </c>
      <c r="D68" s="22" t="s">
        <v>147</v>
      </c>
      <c r="E68" s="18"/>
      <c r="F68" s="18"/>
      <c r="G68" s="12" t="str">
        <f>IF(AND(GroupFixtures[[#This Row],[Home Score]]&lt;&gt;"",GroupFixtures[[#This Row],[Away Score]]&lt;&gt;""),1,"")</f>
        <v/>
      </c>
      <c r="H68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68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68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68" s="12" t="s">
        <v>221</v>
      </c>
      <c r="L68" s="38">
        <v>0.125</v>
      </c>
    </row>
    <row r="69" spans="1:12" ht="16" x14ac:dyDescent="0.2">
      <c r="A69" s="29" t="s">
        <v>144</v>
      </c>
      <c r="B69" s="12" t="s">
        <v>176</v>
      </c>
      <c r="C69" s="22" t="s">
        <v>204</v>
      </c>
      <c r="D69" s="22" t="s">
        <v>145</v>
      </c>
      <c r="E69" s="18"/>
      <c r="F69" s="18"/>
      <c r="G69" s="12" t="str">
        <f>IF(AND(GroupFixtures[[#This Row],[Home Score]]&lt;&gt;"",GroupFixtures[[#This Row],[Away Score]]&lt;&gt;""),1,"")</f>
        <v/>
      </c>
      <c r="H69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69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69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69" s="12" t="s">
        <v>232</v>
      </c>
      <c r="L69" s="38">
        <v>2.0833333333333332E-2</v>
      </c>
    </row>
    <row r="70" spans="1:12" ht="16" x14ac:dyDescent="0.2">
      <c r="A70" s="29" t="s">
        <v>144</v>
      </c>
      <c r="B70" s="12" t="s">
        <v>177</v>
      </c>
      <c r="C70" s="22" t="s">
        <v>147</v>
      </c>
      <c r="D70" s="22" t="s">
        <v>149</v>
      </c>
      <c r="E70" s="18"/>
      <c r="F70" s="18"/>
      <c r="G70" s="12" t="str">
        <f>IF(AND(GroupFixtures[[#This Row],[Home Score]]&lt;&gt;"",GroupFixtures[[#This Row],[Away Score]]&lt;&gt;""),1,"")</f>
        <v/>
      </c>
      <c r="H70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70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70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70" s="12" t="s">
        <v>232</v>
      </c>
      <c r="L70" s="38">
        <v>2.0833333333333332E-2</v>
      </c>
    </row>
    <row r="71" spans="1:12" ht="16" x14ac:dyDescent="0.2">
      <c r="A71" s="29" t="s">
        <v>36</v>
      </c>
      <c r="B71" s="12" t="s">
        <v>178</v>
      </c>
      <c r="C71" s="22" t="s">
        <v>153</v>
      </c>
      <c r="D71" s="22" t="s">
        <v>155</v>
      </c>
      <c r="E71" s="18"/>
      <c r="F71" s="18"/>
      <c r="G71" s="12" t="str">
        <f>IF(AND(GroupFixtures[[#This Row],[Home Score]]&lt;&gt;"",GroupFixtures[[#This Row],[Away Score]]&lt;&gt;""),1,"")</f>
        <v/>
      </c>
      <c r="H71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71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71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71" s="12" t="s">
        <v>231</v>
      </c>
      <c r="L71" s="38">
        <v>0.875</v>
      </c>
    </row>
    <row r="72" spans="1:12" ht="16" x14ac:dyDescent="0.2">
      <c r="A72" s="29" t="s">
        <v>36</v>
      </c>
      <c r="B72" s="12" t="s">
        <v>179</v>
      </c>
      <c r="C72" s="22" t="s">
        <v>157</v>
      </c>
      <c r="D72" s="22" t="s">
        <v>159</v>
      </c>
      <c r="E72" s="18"/>
      <c r="F72" s="18"/>
      <c r="G72" s="12" t="str">
        <f>IF(AND(GroupFixtures[[#This Row],[Home Score]]&lt;&gt;"",GroupFixtures[[#This Row],[Away Score]]&lt;&gt;""),1,"")</f>
        <v/>
      </c>
      <c r="H72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72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72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72" s="12" t="s">
        <v>217</v>
      </c>
      <c r="L72" s="38">
        <v>0</v>
      </c>
    </row>
    <row r="73" spans="1:12" ht="16" x14ac:dyDescent="0.2">
      <c r="A73" s="29" t="s">
        <v>36</v>
      </c>
      <c r="B73" s="12" t="s">
        <v>180</v>
      </c>
      <c r="C73" s="22" t="s">
        <v>153</v>
      </c>
      <c r="D73" s="22" t="s">
        <v>157</v>
      </c>
      <c r="E73" s="18"/>
      <c r="F73" s="18"/>
      <c r="G73" s="12" t="str">
        <f>IF(AND(GroupFixtures[[#This Row],[Home Score]]&lt;&gt;"",GroupFixtures[[#This Row],[Away Score]]&lt;&gt;""),1,"")</f>
        <v/>
      </c>
      <c r="H73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73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73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73" s="12" t="s">
        <v>230</v>
      </c>
      <c r="L73" s="38">
        <v>0.875</v>
      </c>
    </row>
    <row r="74" spans="1:12" ht="16" x14ac:dyDescent="0.2">
      <c r="A74" s="29" t="s">
        <v>36</v>
      </c>
      <c r="B74" s="12" t="s">
        <v>181</v>
      </c>
      <c r="C74" s="22" t="s">
        <v>159</v>
      </c>
      <c r="D74" s="22" t="s">
        <v>155</v>
      </c>
      <c r="E74" s="18"/>
      <c r="F74" s="18"/>
      <c r="G74" s="12" t="str">
        <f>IF(AND(GroupFixtures[[#This Row],[Home Score]]&lt;&gt;"",GroupFixtures[[#This Row],[Away Score]]&lt;&gt;""),1,"")</f>
        <v/>
      </c>
      <c r="H74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74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74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74" s="12" t="s">
        <v>221</v>
      </c>
      <c r="L74" s="38">
        <v>0</v>
      </c>
    </row>
    <row r="75" spans="1:12" ht="16" x14ac:dyDescent="0.2">
      <c r="A75" s="29" t="s">
        <v>36</v>
      </c>
      <c r="B75" s="12" t="s">
        <v>182</v>
      </c>
      <c r="C75" s="22" t="s">
        <v>159</v>
      </c>
      <c r="D75" s="22" t="s">
        <v>153</v>
      </c>
      <c r="E75" s="18"/>
      <c r="F75" s="18"/>
      <c r="G75" s="12" t="str">
        <f>IF(AND(GroupFixtures[[#This Row],[Home Score]]&lt;&gt;"",GroupFixtures[[#This Row],[Away Score]]&lt;&gt;""),1,"")</f>
        <v/>
      </c>
      <c r="H75" s="1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75" s="1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75" s="30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75" s="12" t="s">
        <v>229</v>
      </c>
      <c r="L75" s="38">
        <v>0.91666666666666663</v>
      </c>
    </row>
    <row r="76" spans="1:12" ht="16" x14ac:dyDescent="0.2">
      <c r="A76" s="31" t="s">
        <v>36</v>
      </c>
      <c r="B76" s="32" t="s">
        <v>183</v>
      </c>
      <c r="C76" s="33" t="s">
        <v>155</v>
      </c>
      <c r="D76" s="33" t="s">
        <v>157</v>
      </c>
      <c r="E76" s="34"/>
      <c r="F76" s="34"/>
      <c r="G76" s="32" t="str">
        <f>IF(AND(GroupFixtures[[#This Row],[Home Score]]&lt;&gt;"",GroupFixtures[[#This Row],[Away Score]]&lt;&gt;""),1,"")</f>
        <v/>
      </c>
      <c r="H76" s="32" t="str">
        <f>IF(GroupFixtures[[#This Row],[Played]]="","",IF(GroupFixtures[[#This Row],[Home Score]]&gt;GroupFixtures[[#This Row],[Away Score]],3,IF(GroupFixtures[[#This Row],[Home Score]]=GroupFixtures[[#This Row],[Away Score]],1,0)))</f>
        <v/>
      </c>
      <c r="I76" s="32" t="str">
        <f>IF(GroupFixtures[[#This Row],[Played]]="","",IF(GroupFixtures[[#This Row],[Away Score]]&gt;GroupFixtures[[#This Row],[Home Score]],3,IF(GroupFixtures[[#This Row],[Away Score]]=GroupFixtures[[#This Row],[Home Score]],1,0)))</f>
        <v/>
      </c>
      <c r="J76" s="35" t="str">
        <f>IF(GroupFixtures[[#This Row],[Played]]="","",IF(GroupFixtures[[#This Row],[Home Score]]&gt;GroupFixtures[[#This Row],[Away Score]],"H",IF(GroupFixtures[[#This Row],[Home Score]]=GroupFixtures[[#This Row],[Away Score]],"D","A")))</f>
        <v/>
      </c>
      <c r="K76" s="12" t="s">
        <v>229</v>
      </c>
      <c r="L76" s="38">
        <v>0.91666666666666663</v>
      </c>
    </row>
    <row r="78" spans="1:12" x14ac:dyDescent="0.2">
      <c r="A78" s="13" t="s">
        <v>184</v>
      </c>
      <c r="B78" s="14"/>
      <c r="C78" s="14"/>
      <c r="D78" s="14"/>
      <c r="E78" s="14"/>
      <c r="F78" s="14"/>
      <c r="G78" s="14"/>
      <c r="H78" s="14"/>
      <c r="I78" s="14"/>
      <c r="J78" s="14"/>
      <c r="K78" s="24"/>
      <c r="L78" s="24"/>
    </row>
    <row r="79" spans="1:12" x14ac:dyDescent="0.2">
      <c r="A79" s="15" t="s">
        <v>22</v>
      </c>
      <c r="B79" s="15" t="s">
        <v>1</v>
      </c>
      <c r="C79" s="15" t="s">
        <v>33</v>
      </c>
      <c r="D79" s="15" t="s">
        <v>34</v>
      </c>
      <c r="E79" s="15" t="s">
        <v>35</v>
      </c>
      <c r="F79" s="15" t="s">
        <v>36</v>
      </c>
      <c r="G79" s="15" t="s">
        <v>37</v>
      </c>
      <c r="H79" s="15" t="s">
        <v>38</v>
      </c>
      <c r="I79" s="15" t="s">
        <v>39</v>
      </c>
      <c r="J79" s="15" t="s">
        <v>40</v>
      </c>
      <c r="K79" s="25"/>
      <c r="L79" s="25"/>
    </row>
    <row r="80" spans="1:12" x14ac:dyDescent="0.2">
      <c r="A80" s="12" t="str" cm="1">
        <f t="array" ref="A80:J87">_xlfn.TAKE(_xlfn.SORTBY(_xlfn._xlws.FILTER($BB$5:$BK$52,$BL$5:$BL$52=3),_xlfn._xlws.FILTER($BK$5:$BK$52,$BL$5:$BL$52=3),-1,_xlfn._xlws.FILTER($BJ$5:$BJ$52,$BL$5:$BL$52=3),-1,_xlfn._xlws.FILTER($BI$5:$BI$52,$BL$5:$BL$52=3),-1,_xlfn._xlws.FILTER($BC$5:$BC$52,$BL$5:$BL$52=3),1),8)</f>
        <v>J</v>
      </c>
      <c r="B80" s="12" t="str">
        <v>Austria (Tish)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</row>
    <row r="81" spans="1:11" x14ac:dyDescent="0.2">
      <c r="A81" s="12" t="str">
        <v>E</v>
      </c>
      <c r="B81" s="12" t="str">
        <v>Ecuador (Matt M)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</row>
    <row r="82" spans="1:11" x14ac:dyDescent="0.2">
      <c r="A82" s="12" t="str">
        <v>L</v>
      </c>
      <c r="B82" s="12" t="str">
        <v>Ghana (Tina)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</row>
    <row r="83" spans="1:11" x14ac:dyDescent="0.2">
      <c r="A83" s="12" t="str">
        <v>G</v>
      </c>
      <c r="B83" s="12" t="str">
        <v>IR Iran (Nick)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</row>
    <row r="84" spans="1:11" x14ac:dyDescent="0.2">
      <c r="A84" s="12" t="str">
        <v>A</v>
      </c>
      <c r="B84" s="12" t="str">
        <v>Mexico (Sean)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</row>
    <row r="85" spans="1:11" x14ac:dyDescent="0.2">
      <c r="A85" s="12" t="str">
        <v>C</v>
      </c>
      <c r="B85" s="12" t="str">
        <v>Morocco (Mark)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</row>
    <row r="86" spans="1:11" x14ac:dyDescent="0.2">
      <c r="A86" s="12" t="str">
        <v>I</v>
      </c>
      <c r="B86" s="12" t="str">
        <v>Norway (Ben)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</row>
    <row r="87" spans="1:11" x14ac:dyDescent="0.2">
      <c r="A87" s="12" t="str">
        <v>K</v>
      </c>
      <c r="B87" s="12" t="str">
        <v>Portugal (Matt P)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</row>
    <row r="90" spans="1:11" x14ac:dyDescent="0.2">
      <c r="A90" s="39" t="str">
        <f>"Round of 32 is seeded from official 2026 group positions. Third-place slots show the official eligible group pools."</f>
        <v>Round of 32 is seeded from official 2026 group positions. Third-place slots show the official eligible group pools.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 x14ac:dyDescent="0.2">
      <c r="A91" s="17" t="s">
        <v>23</v>
      </c>
      <c r="B91" s="17" t="s">
        <v>185</v>
      </c>
      <c r="C91" s="17" t="s">
        <v>186</v>
      </c>
      <c r="D91" s="17" t="s">
        <v>187</v>
      </c>
      <c r="E91" s="17" t="s">
        <v>188</v>
      </c>
      <c r="F91" s="17" t="s">
        <v>189</v>
      </c>
      <c r="G91" s="17" t="s">
        <v>190</v>
      </c>
      <c r="H91" s="17" t="s">
        <v>191</v>
      </c>
      <c r="I91" s="17" t="s">
        <v>192</v>
      </c>
      <c r="J91" s="40" t="s">
        <v>212</v>
      </c>
      <c r="K91" s="40" t="s">
        <v>213</v>
      </c>
    </row>
    <row r="92" spans="1:11" ht="16" x14ac:dyDescent="0.2">
      <c r="A92" s="12">
        <v>73</v>
      </c>
      <c r="B92" s="12" t="s">
        <v>193</v>
      </c>
      <c r="C92" s="22" t="str" cm="1">
        <f t="array" ref="C92">_xlfn.XLOOKUP(1,(GroupStandings[Group]="A")*(GroupStandings[Rank]=2),GroupStandings[Team],"")</f>
        <v>Korea Republic (Marija)</v>
      </c>
      <c r="D92" s="18"/>
      <c r="E92" s="18"/>
      <c r="F92" s="22" t="str" cm="1">
        <f t="array" ref="F92">_xlfn.XLOOKUP(1,(GroupStandings[Group]="B")*(GroupStandings[Rank]=2),GroupStandings[Team],"")</f>
        <v>Canada (Nick)</v>
      </c>
      <c r="G92" s="12"/>
      <c r="H92" s="12" t="str">
        <f t="shared" ref="H92:H122" si="0">IF(G92&lt;&gt;"",G92,IF(OR(D92="",E92=""),"",IF(D92&gt;E92,C92,IF(E92&gt;D92,F92,""))))</f>
        <v/>
      </c>
      <c r="I92" s="12"/>
      <c r="J92" s="12" t="s">
        <v>232</v>
      </c>
      <c r="K92" s="38">
        <v>0.83333333333333337</v>
      </c>
    </row>
    <row r="93" spans="1:11" ht="16" x14ac:dyDescent="0.2">
      <c r="A93" s="12">
        <v>74</v>
      </c>
      <c r="B93" s="12" t="s">
        <v>193</v>
      </c>
      <c r="C93" s="22" t="str" cm="1">
        <f t="array" ref="C93">_xlfn.XLOOKUP(1,(GroupStandings[Group]="E")*(GroupStandings[Rank]=1),GroupStandings[Team],"")</f>
        <v>Côte d'Ivoire (Matt M)</v>
      </c>
      <c r="D93" s="18"/>
      <c r="E93" s="18"/>
      <c r="F93" s="22" t="str">
        <f>_xlfn.XLOOKUP("D",$A$80:$A$87,$B$80:$B$87,"3rd Group "&amp;I93)</f>
        <v>3rd Group A/B/C/D/F</v>
      </c>
      <c r="G93" s="12"/>
      <c r="H93" s="12" t="str">
        <f t="shared" si="0"/>
        <v/>
      </c>
      <c r="I93" s="12" t="str">
        <f>"A/B/C/D/F"</f>
        <v>A/B/C/D/F</v>
      </c>
      <c r="J93" s="12" t="s">
        <v>233</v>
      </c>
      <c r="K93" s="38">
        <v>0.89583333333333337</v>
      </c>
    </row>
    <row r="94" spans="1:11" ht="16" x14ac:dyDescent="0.2">
      <c r="A94" s="12">
        <v>75</v>
      </c>
      <c r="B94" s="12" t="s">
        <v>193</v>
      </c>
      <c r="C94" s="22" t="str" cm="1">
        <f t="array" ref="C94">_xlfn.XLOOKUP(1,(GroupStandings[Group]="F")*(GroupStandings[Rank]=1),GroupStandings[Team],"")</f>
        <v>Japan (Tina)</v>
      </c>
      <c r="D94" s="18"/>
      <c r="E94" s="18"/>
      <c r="F94" s="22" t="str" cm="1">
        <f t="array" ref="F94">_xlfn.XLOOKUP(1,(GroupStandings[Group]="C")*(GroupStandings[Rank]=2),GroupStandings[Team],"")</f>
        <v>Haiti (Nelly)</v>
      </c>
      <c r="G94" s="12"/>
      <c r="H94" s="12" t="str">
        <f t="shared" si="0"/>
        <v/>
      </c>
      <c r="I94" s="12"/>
      <c r="J94" s="12" t="s">
        <v>234</v>
      </c>
      <c r="K94" s="38">
        <v>8.3333333333333329E-2</v>
      </c>
    </row>
    <row r="95" spans="1:11" ht="16" x14ac:dyDescent="0.2">
      <c r="A95" s="12">
        <v>76</v>
      </c>
      <c r="B95" s="12" t="s">
        <v>193</v>
      </c>
      <c r="C95" s="22" t="str" cm="1">
        <f t="array" ref="C95">_xlfn.XLOOKUP(1,(GroupStandings[Group]="C")*(GroupStandings[Rank]=1),GroupStandings[Team],"")</f>
        <v>Brazil (Fabio)</v>
      </c>
      <c r="D95" s="18"/>
      <c r="E95" s="18"/>
      <c r="F95" s="22" t="str" cm="1">
        <f t="array" ref="F95">_xlfn.XLOOKUP(1,(GroupStandings[Group]="F")*(GroupStandings[Rank]=2),GroupStandings[Team],"")</f>
        <v>Netherlands (Jane)</v>
      </c>
      <c r="G95" s="12"/>
      <c r="H95" s="12" t="str">
        <f t="shared" si="0"/>
        <v/>
      </c>
      <c r="I95" s="12"/>
      <c r="J95" s="12" t="s">
        <v>233</v>
      </c>
      <c r="K95" s="38">
        <v>0.75</v>
      </c>
    </row>
    <row r="96" spans="1:11" ht="16" x14ac:dyDescent="0.2">
      <c r="A96" s="12">
        <v>77</v>
      </c>
      <c r="B96" s="12" t="s">
        <v>193</v>
      </c>
      <c r="C96" s="22" t="str" cm="1">
        <f t="array" ref="C96">_xlfn.XLOOKUP(1,(GroupStandings[Group]="I")*(GroupStandings[Rank]=1),GroupStandings[Team],"")</f>
        <v>France (Tom)</v>
      </c>
      <c r="D96" s="18"/>
      <c r="E96" s="18"/>
      <c r="F96" s="22" t="str">
        <f>_xlfn.XLOOKUP("F",$A$80:$A$87,$B$80:$B$87,"3rd Group "&amp;I96)</f>
        <v>3rd Group C/D/F/G/H</v>
      </c>
      <c r="G96" s="12"/>
      <c r="H96" s="12" t="str">
        <f t="shared" si="0"/>
        <v/>
      </c>
      <c r="I96" s="12" t="str">
        <f>"C/D/F/G/H"</f>
        <v>C/D/F/G/H</v>
      </c>
      <c r="J96" s="12" t="s">
        <v>234</v>
      </c>
      <c r="K96" s="38">
        <v>0.91666666666666663</v>
      </c>
    </row>
    <row r="97" spans="1:11" ht="16" x14ac:dyDescent="0.2">
      <c r="A97" s="12">
        <v>78</v>
      </c>
      <c r="B97" s="12" t="s">
        <v>193</v>
      </c>
      <c r="C97" s="22" t="str" cm="1">
        <f t="array" ref="C97">_xlfn.XLOOKUP(1,(GroupStandings[Group]="E")*(GroupStandings[Rank]=2),GroupStandings[Team],"")</f>
        <v>Curaçao (Rich)</v>
      </c>
      <c r="D97" s="18"/>
      <c r="E97" s="18"/>
      <c r="F97" s="22" t="str" cm="1">
        <f t="array" ref="F97">_xlfn.XLOOKUP(1,(GroupStandings[Group]="I")*(GroupStandings[Rank]=2),GroupStandings[Team],"")</f>
        <v>Iraq (Scott)</v>
      </c>
      <c r="G97" s="12"/>
      <c r="H97" s="12" t="str">
        <f t="shared" si="0"/>
        <v/>
      </c>
      <c r="I97" s="12"/>
      <c r="J97" s="12" t="s">
        <v>234</v>
      </c>
      <c r="K97" s="38">
        <v>0.75</v>
      </c>
    </row>
    <row r="98" spans="1:11" ht="16" x14ac:dyDescent="0.2">
      <c r="A98" s="12">
        <v>79</v>
      </c>
      <c r="B98" s="12" t="s">
        <v>193</v>
      </c>
      <c r="C98" s="22" t="str" cm="1">
        <f t="array" ref="C98">_xlfn.XLOOKUP(1,(GroupStandings[Group]="A")*(GroupStandings[Rank]=1),GroupStandings[Team],"")</f>
        <v>Czechia (Div)</v>
      </c>
      <c r="D98" s="18"/>
      <c r="E98" s="18"/>
      <c r="F98" s="22" t="str">
        <f>_xlfn.XLOOKUP("C",$A$80:$A$87,$B$80:$B$87,"3rd Group "&amp;I98)</f>
        <v>Morocco (Mark)</v>
      </c>
      <c r="G98" s="12"/>
      <c r="H98" s="12" t="str">
        <f t="shared" si="0"/>
        <v/>
      </c>
      <c r="I98" s="12" t="str">
        <f>"C/E/F/H/I"</f>
        <v>C/E/F/H/I</v>
      </c>
      <c r="J98" s="12" t="s">
        <v>235</v>
      </c>
      <c r="K98" s="38">
        <v>8.3333333333333329E-2</v>
      </c>
    </row>
    <row r="99" spans="1:11" ht="16" x14ac:dyDescent="0.2">
      <c r="A99" s="12">
        <v>80</v>
      </c>
      <c r="B99" s="12" t="s">
        <v>193</v>
      </c>
      <c r="C99" s="22" t="str" cm="1">
        <f t="array" ref="C99">_xlfn.XLOOKUP(1,(GroupStandings[Group]="L")*(GroupStandings[Rank]=1),GroupStandings[Team],"")</f>
        <v>Croatia (Sean)</v>
      </c>
      <c r="D99" s="18"/>
      <c r="E99" s="18"/>
      <c r="F99" s="22" t="str">
        <f>_xlfn.XLOOKUP("K",$A$80:$A$87,$B$80:$B$87,"3rd Group "&amp;I99)</f>
        <v>Portugal (Matt P)</v>
      </c>
      <c r="G99" s="12"/>
      <c r="H99" s="12" t="str">
        <f t="shared" si="0"/>
        <v/>
      </c>
      <c r="I99" s="12" t="str">
        <f>"E/H/I/J/K"</f>
        <v>E/H/I/J/K</v>
      </c>
      <c r="J99" s="12" t="s">
        <v>235</v>
      </c>
      <c r="K99" s="38">
        <v>0.70833333333333337</v>
      </c>
    </row>
    <row r="100" spans="1:11" ht="16" x14ac:dyDescent="0.2">
      <c r="A100" s="12">
        <v>81</v>
      </c>
      <c r="B100" s="12" t="s">
        <v>193</v>
      </c>
      <c r="C100" s="22" t="str" cm="1">
        <f t="array" ref="C100">_xlfn.XLOOKUP(1,(GroupStandings[Group]="D")*(GroupStandings[Rank]=1),GroupStandings[Team],"")</f>
        <v>Australia (Caoimhe)</v>
      </c>
      <c r="D100" s="18"/>
      <c r="E100" s="18"/>
      <c r="F100" s="22" t="str">
        <f>_xlfn.XLOOKUP("B",$A$80:$A$87,$B$80:$B$87,"3rd Group "&amp;I100)</f>
        <v>3rd Group B/E/F/I/J</v>
      </c>
      <c r="G100" s="12"/>
      <c r="H100" s="12" t="str">
        <f t="shared" si="0"/>
        <v/>
      </c>
      <c r="I100" s="12" t="str">
        <f>"B/E/F/I/J"</f>
        <v>B/E/F/I/J</v>
      </c>
      <c r="J100" s="12" t="s">
        <v>236</v>
      </c>
      <c r="K100" s="38">
        <v>4.1666666666666664E-2</v>
      </c>
    </row>
    <row r="101" spans="1:11" ht="16" x14ac:dyDescent="0.2">
      <c r="A101" s="12">
        <v>82</v>
      </c>
      <c r="B101" s="12" t="s">
        <v>193</v>
      </c>
      <c r="C101" s="22" t="str" cm="1">
        <f t="array" ref="C101">_xlfn.XLOOKUP(1,(GroupStandings[Group]="G")*(GroupStandings[Rank]=1),GroupStandings[Team],"")</f>
        <v>Belgium (Matt P)</v>
      </c>
      <c r="D101" s="18"/>
      <c r="E101" s="18"/>
      <c r="F101" s="22" t="str">
        <f>_xlfn.XLOOKUP("A",$A$80:$A$87,$B$80:$B$87,"3rd Group "&amp;I101)</f>
        <v>Mexico (Sean)</v>
      </c>
      <c r="G101" s="12"/>
      <c r="H101" s="12" t="str">
        <f t="shared" si="0"/>
        <v/>
      </c>
      <c r="I101" s="12" t="str">
        <f>"A/E/H/I/J"</f>
        <v>A/E/H/I/J</v>
      </c>
      <c r="J101" s="12" t="s">
        <v>235</v>
      </c>
      <c r="K101" s="38">
        <v>0.875</v>
      </c>
    </row>
    <row r="102" spans="1:11" ht="16" x14ac:dyDescent="0.2">
      <c r="A102" s="12">
        <v>83</v>
      </c>
      <c r="B102" s="12" t="s">
        <v>193</v>
      </c>
      <c r="C102" s="22" t="str" cm="1">
        <f t="array" ref="C102">_xlfn.XLOOKUP(1,(GroupStandings[Group]="K")*(GroupStandings[Rank]=2),GroupStandings[Team],"")</f>
        <v>Congo DR (Tom)</v>
      </c>
      <c r="D102" s="18"/>
      <c r="E102" s="18"/>
      <c r="F102" s="22" t="str" cm="1">
        <f t="array" ref="F102">_xlfn.XLOOKUP(1,(GroupStandings[Group]="L")*(GroupStandings[Rank]=2),GroupStandings[Team],"")</f>
        <v>England (Katia)</v>
      </c>
      <c r="G102" s="12"/>
      <c r="H102" s="12" t="str">
        <f t="shared" si="0"/>
        <v/>
      </c>
      <c r="I102" s="12"/>
      <c r="J102" s="12" t="s">
        <v>237</v>
      </c>
      <c r="K102" s="38">
        <v>0</v>
      </c>
    </row>
    <row r="103" spans="1:11" ht="16" x14ac:dyDescent="0.2">
      <c r="A103" s="12">
        <v>84</v>
      </c>
      <c r="B103" s="12" t="s">
        <v>193</v>
      </c>
      <c r="C103" s="22" t="str" cm="1">
        <f t="array" ref="C103">_xlfn.XLOOKUP(1,(GroupStandings[Group]="H")*(GroupStandings[Rank]=1),GroupStandings[Team],"")</f>
        <v>Cabo Verde (Div)</v>
      </c>
      <c r="D103" s="18"/>
      <c r="E103" s="18"/>
      <c r="F103" s="22" t="str" cm="1">
        <f t="array" ref="F103">_xlfn.XLOOKUP(1,(GroupStandings[Group]="J")*(GroupStandings[Rank]=2),GroupStandings[Team],"")</f>
        <v>Argentina (Jane)</v>
      </c>
      <c r="G103" s="12"/>
      <c r="H103" s="12" t="str">
        <f t="shared" si="0"/>
        <v/>
      </c>
      <c r="I103" s="12"/>
      <c r="J103" s="12" t="s">
        <v>236</v>
      </c>
      <c r="K103" s="38">
        <v>0.83333333333333337</v>
      </c>
    </row>
    <row r="104" spans="1:11" ht="32" x14ac:dyDescent="0.2">
      <c r="A104" s="12">
        <v>85</v>
      </c>
      <c r="B104" s="12" t="s">
        <v>193</v>
      </c>
      <c r="C104" s="22" t="str" cm="1">
        <f t="array" ref="C104">_xlfn.XLOOKUP(1,(GroupStandings[Group]="B")*(GroupStandings[Rank]=1),GroupStandings[Team],"")</f>
        <v>Bosnia and Herzegovina (Sean)</v>
      </c>
      <c r="D104" s="18"/>
      <c r="E104" s="18"/>
      <c r="F104" s="22" t="str">
        <f>_xlfn.XLOOKUP("G",$A$80:$A$87,$B$80:$B$87,"3rd Group "&amp;I104)</f>
        <v>IR Iran (Nick)</v>
      </c>
      <c r="G104" s="12"/>
      <c r="H104" s="12" t="str">
        <f t="shared" si="0"/>
        <v/>
      </c>
      <c r="I104" s="12" t="str">
        <f>"E/F/G/I/J"</f>
        <v>E/F/G/I/J</v>
      </c>
      <c r="J104" s="12" t="s">
        <v>237</v>
      </c>
      <c r="K104" s="38">
        <v>0.16666666666666666</v>
      </c>
    </row>
    <row r="105" spans="1:11" ht="16" x14ac:dyDescent="0.2">
      <c r="A105" s="12">
        <v>86</v>
      </c>
      <c r="B105" s="12" t="s">
        <v>193</v>
      </c>
      <c r="C105" s="22" t="str" cm="1">
        <f t="array" ref="C105">_xlfn.XLOOKUP(1,(GroupStandings[Group]="J")*(GroupStandings[Rank]=1),GroupStandings[Team],"")</f>
        <v>Algeria (Scott)</v>
      </c>
      <c r="D105" s="18"/>
      <c r="E105" s="18"/>
      <c r="F105" s="22" t="str" cm="1">
        <f t="array" ref="F105">_xlfn.XLOOKUP(1,(GroupStandings[Group]="H")*(GroupStandings[Rank]=2),GroupStandings[Team],"")</f>
        <v>Saudi Arabia (Tish)</v>
      </c>
      <c r="G105" s="12"/>
      <c r="H105" s="12" t="str">
        <f t="shared" si="0"/>
        <v/>
      </c>
      <c r="I105" s="12"/>
      <c r="J105" s="12" t="s">
        <v>237</v>
      </c>
      <c r="K105" s="38">
        <v>0.95833333333333337</v>
      </c>
    </row>
    <row r="106" spans="1:11" ht="16" x14ac:dyDescent="0.2">
      <c r="A106" s="12">
        <v>87</v>
      </c>
      <c r="B106" s="12" t="s">
        <v>193</v>
      </c>
      <c r="C106" s="22" t="str" cm="1">
        <f t="array" ref="C106">_xlfn.XLOOKUP(1,(GroupStandings[Group]="K")*(GroupStandings[Rank]=1),GroupStandings[Team],"")</f>
        <v>Colombia (Mark)</v>
      </c>
      <c r="D106" s="18"/>
      <c r="E106" s="18"/>
      <c r="F106" s="22" t="str">
        <f>_xlfn.XLOOKUP("L",$A$80:$A$87,$B$80:$B$87,"3rd Group "&amp;I106)</f>
        <v>Ghana (Tina)</v>
      </c>
      <c r="G106" s="12"/>
      <c r="H106" s="12" t="str">
        <f t="shared" si="0"/>
        <v/>
      </c>
      <c r="I106" s="12" t="str">
        <f>"D/E/I/J/L"</f>
        <v>D/E/I/J/L</v>
      </c>
      <c r="J106" s="12" t="s">
        <v>238</v>
      </c>
      <c r="K106" s="38">
        <v>0.10416666666666667</v>
      </c>
    </row>
    <row r="107" spans="1:11" ht="16" x14ac:dyDescent="0.2">
      <c r="A107" s="12">
        <v>88</v>
      </c>
      <c r="B107" s="12" t="s">
        <v>193</v>
      </c>
      <c r="C107" s="22" t="str" cm="1">
        <f t="array" ref="C107">_xlfn.XLOOKUP(1,(GroupStandings[Group]="D")*(GroupStandings[Rank]=2),GroupStandings[Team],"")</f>
        <v>Paraguay (Lucy)</v>
      </c>
      <c r="D107" s="18"/>
      <c r="E107" s="18"/>
      <c r="F107" s="22" t="str" cm="1">
        <f t="array" ref="F107">_xlfn.XLOOKUP(1,(GroupStandings[Group]="G")*(GroupStandings[Rank]=2),GroupStandings[Team],"")</f>
        <v>Egypt (Marija)</v>
      </c>
      <c r="G107" s="12"/>
      <c r="H107" s="12" t="str">
        <f t="shared" si="0"/>
        <v/>
      </c>
      <c r="I107" s="12"/>
      <c r="J107" s="12" t="s">
        <v>237</v>
      </c>
      <c r="K107" s="38">
        <v>0.79166666666666663</v>
      </c>
    </row>
    <row r="108" spans="1:11" ht="16" x14ac:dyDescent="0.2">
      <c r="A108" s="12">
        <v>89</v>
      </c>
      <c r="B108" s="12" t="s">
        <v>194</v>
      </c>
      <c r="C108" s="22" t="str">
        <f>H93</f>
        <v/>
      </c>
      <c r="D108" s="18"/>
      <c r="E108" s="18"/>
      <c r="F108" s="12" t="str">
        <f>H96</f>
        <v/>
      </c>
      <c r="G108" s="12"/>
      <c r="H108" s="12" t="str">
        <f t="shared" si="0"/>
        <v/>
      </c>
      <c r="I108" s="12"/>
      <c r="J108" s="12" t="s">
        <v>238</v>
      </c>
      <c r="K108" s="38">
        <v>0.91666666666666663</v>
      </c>
    </row>
    <row r="109" spans="1:11" ht="16" x14ac:dyDescent="0.2">
      <c r="A109" s="12">
        <v>90</v>
      </c>
      <c r="B109" s="12" t="s">
        <v>194</v>
      </c>
      <c r="C109" s="22" t="str">
        <f>H92</f>
        <v/>
      </c>
      <c r="D109" s="18"/>
      <c r="E109" s="18"/>
      <c r="F109" s="12" t="str">
        <f>H94</f>
        <v/>
      </c>
      <c r="G109" s="12"/>
      <c r="H109" s="12" t="str">
        <f t="shared" si="0"/>
        <v/>
      </c>
      <c r="I109" s="12"/>
      <c r="J109" s="12" t="s">
        <v>238</v>
      </c>
      <c r="K109" s="38">
        <v>0.75</v>
      </c>
    </row>
    <row r="110" spans="1:11" ht="16" x14ac:dyDescent="0.2">
      <c r="A110" s="12">
        <v>91</v>
      </c>
      <c r="B110" s="12" t="s">
        <v>194</v>
      </c>
      <c r="C110" s="22" t="str">
        <f>H95</f>
        <v/>
      </c>
      <c r="D110" s="18"/>
      <c r="E110" s="18"/>
      <c r="F110" s="12" t="str">
        <f>H97</f>
        <v/>
      </c>
      <c r="G110" s="12"/>
      <c r="H110" s="12" t="str">
        <f t="shared" si="0"/>
        <v/>
      </c>
      <c r="I110" s="12"/>
      <c r="J110" s="12" t="s">
        <v>239</v>
      </c>
      <c r="K110" s="38">
        <v>0.875</v>
      </c>
    </row>
    <row r="111" spans="1:11" ht="16" x14ac:dyDescent="0.2">
      <c r="A111" s="12">
        <v>92</v>
      </c>
      <c r="B111" s="12" t="s">
        <v>194</v>
      </c>
      <c r="C111" s="22" t="str">
        <f>H98</f>
        <v/>
      </c>
      <c r="D111" s="18"/>
      <c r="E111" s="18"/>
      <c r="F111" s="12" t="str">
        <f>H99</f>
        <v/>
      </c>
      <c r="G111" s="12"/>
      <c r="H111" s="12" t="str">
        <f t="shared" si="0"/>
        <v/>
      </c>
      <c r="I111" s="12"/>
      <c r="J111" s="12" t="s">
        <v>240</v>
      </c>
      <c r="K111" s="38">
        <v>4.1666666666666664E-2</v>
      </c>
    </row>
    <row r="112" spans="1:11" ht="16" x14ac:dyDescent="0.2">
      <c r="A112" s="12">
        <v>93</v>
      </c>
      <c r="B112" s="12" t="s">
        <v>194</v>
      </c>
      <c r="C112" s="22" t="str">
        <f>H102</f>
        <v/>
      </c>
      <c r="D112" s="18"/>
      <c r="E112" s="18"/>
      <c r="F112" s="12" t="str">
        <f>H103</f>
        <v/>
      </c>
      <c r="G112" s="12"/>
      <c r="H112" s="12" t="str">
        <f t="shared" si="0"/>
        <v/>
      </c>
      <c r="I112" s="12"/>
      <c r="J112" s="12" t="s">
        <v>240</v>
      </c>
      <c r="K112" s="38">
        <v>0.83333333333333337</v>
      </c>
    </row>
    <row r="113" spans="1:11" ht="16" x14ac:dyDescent="0.2">
      <c r="A113" s="12">
        <v>94</v>
      </c>
      <c r="B113" s="12" t="s">
        <v>194</v>
      </c>
      <c r="C113" s="22" t="str">
        <f>H100</f>
        <v/>
      </c>
      <c r="D113" s="18"/>
      <c r="E113" s="18"/>
      <c r="F113" s="12" t="str">
        <f>H101</f>
        <v/>
      </c>
      <c r="G113" s="12"/>
      <c r="H113" s="12" t="str">
        <f t="shared" si="0"/>
        <v/>
      </c>
      <c r="I113" s="12"/>
      <c r="J113" s="12" t="s">
        <v>241</v>
      </c>
      <c r="K113" s="38">
        <v>4.1666666666666664E-2</v>
      </c>
    </row>
    <row r="114" spans="1:11" ht="16" x14ac:dyDescent="0.2">
      <c r="A114" s="12">
        <v>95</v>
      </c>
      <c r="B114" s="12" t="s">
        <v>194</v>
      </c>
      <c r="C114" s="22" t="str">
        <f>H105</f>
        <v/>
      </c>
      <c r="D114" s="18"/>
      <c r="E114" s="18"/>
      <c r="F114" s="12" t="str">
        <f>H107</f>
        <v/>
      </c>
      <c r="G114" s="12"/>
      <c r="H114" s="12" t="str">
        <f t="shared" si="0"/>
        <v/>
      </c>
      <c r="I114" s="12"/>
      <c r="J114" s="12" t="s">
        <v>241</v>
      </c>
      <c r="K114" s="38">
        <v>0.70833333333333337</v>
      </c>
    </row>
    <row r="115" spans="1:11" ht="16" x14ac:dyDescent="0.2">
      <c r="A115" s="12">
        <v>96</v>
      </c>
      <c r="B115" s="12" t="s">
        <v>194</v>
      </c>
      <c r="C115" s="22" t="str">
        <f>H104</f>
        <v/>
      </c>
      <c r="D115" s="18"/>
      <c r="E115" s="18"/>
      <c r="F115" s="12" t="str">
        <f>H106</f>
        <v/>
      </c>
      <c r="G115" s="12"/>
      <c r="H115" s="12" t="str">
        <f t="shared" si="0"/>
        <v/>
      </c>
      <c r="I115" s="12"/>
      <c r="J115" s="12" t="s">
        <v>241</v>
      </c>
      <c r="K115" s="38">
        <v>0.875</v>
      </c>
    </row>
    <row r="116" spans="1:11" ht="16" x14ac:dyDescent="0.2">
      <c r="A116" s="12">
        <v>97</v>
      </c>
      <c r="B116" s="12" t="s">
        <v>195</v>
      </c>
      <c r="C116" s="22" t="str">
        <f>H108</f>
        <v/>
      </c>
      <c r="D116" s="18"/>
      <c r="E116" s="18"/>
      <c r="F116" s="12" t="str">
        <f>H109</f>
        <v/>
      </c>
      <c r="G116" s="12"/>
      <c r="H116" s="12" t="str">
        <f t="shared" si="0"/>
        <v/>
      </c>
      <c r="I116" s="12"/>
      <c r="J116" s="12" t="s">
        <v>242</v>
      </c>
      <c r="K116" s="38">
        <v>0.875</v>
      </c>
    </row>
    <row r="117" spans="1:11" ht="16" x14ac:dyDescent="0.2">
      <c r="A117" s="12">
        <v>98</v>
      </c>
      <c r="B117" s="12" t="s">
        <v>195</v>
      </c>
      <c r="C117" s="22" t="str">
        <f>H112</f>
        <v/>
      </c>
      <c r="D117" s="18"/>
      <c r="E117" s="18"/>
      <c r="F117" s="12" t="str">
        <f>H113</f>
        <v/>
      </c>
      <c r="G117" s="12"/>
      <c r="H117" s="12" t="str">
        <f t="shared" si="0"/>
        <v/>
      </c>
      <c r="I117" s="12"/>
      <c r="J117" s="12" t="s">
        <v>243</v>
      </c>
      <c r="K117" s="38">
        <v>0.83333333333333337</v>
      </c>
    </row>
    <row r="118" spans="1:11" ht="16" x14ac:dyDescent="0.2">
      <c r="A118" s="12">
        <v>99</v>
      </c>
      <c r="B118" s="12" t="s">
        <v>195</v>
      </c>
      <c r="C118" s="22" t="str">
        <f>H110</f>
        <v/>
      </c>
      <c r="D118" s="18"/>
      <c r="E118" s="18"/>
      <c r="F118" s="12" t="str">
        <f>H111</f>
        <v/>
      </c>
      <c r="G118" s="12"/>
      <c r="H118" s="12" t="str">
        <f t="shared" si="0"/>
        <v/>
      </c>
      <c r="I118" s="12"/>
      <c r="J118" s="12" t="s">
        <v>244</v>
      </c>
      <c r="K118" s="38">
        <v>0.91666666666666663</v>
      </c>
    </row>
    <row r="119" spans="1:11" ht="16" x14ac:dyDescent="0.2">
      <c r="A119" s="12">
        <v>100</v>
      </c>
      <c r="B119" s="12" t="s">
        <v>195</v>
      </c>
      <c r="C119" s="22" t="str">
        <f>H114</f>
        <v/>
      </c>
      <c r="D119" s="18"/>
      <c r="E119" s="18"/>
      <c r="F119" s="12" t="str">
        <f>H115</f>
        <v/>
      </c>
      <c r="G119" s="12"/>
      <c r="H119" s="12" t="str">
        <f t="shared" si="0"/>
        <v/>
      </c>
      <c r="I119" s="12"/>
      <c r="J119" s="12" t="s">
        <v>245</v>
      </c>
      <c r="K119" s="38">
        <v>8.3333333333333329E-2</v>
      </c>
    </row>
    <row r="120" spans="1:11" ht="16" x14ac:dyDescent="0.2">
      <c r="A120" s="12">
        <v>101</v>
      </c>
      <c r="B120" s="12" t="s">
        <v>196</v>
      </c>
      <c r="C120" s="22" t="str">
        <f>H116</f>
        <v/>
      </c>
      <c r="D120" s="18"/>
      <c r="E120" s="18"/>
      <c r="F120" s="12" t="str">
        <f>H117</f>
        <v/>
      </c>
      <c r="G120" s="12"/>
      <c r="H120" s="12" t="str">
        <f t="shared" si="0"/>
        <v/>
      </c>
      <c r="I120" s="12"/>
      <c r="J120" s="12" t="s">
        <v>246</v>
      </c>
      <c r="K120" s="38">
        <v>0.83333333333333337</v>
      </c>
    </row>
    <row r="121" spans="1:11" ht="16" x14ac:dyDescent="0.2">
      <c r="A121" s="12">
        <v>102</v>
      </c>
      <c r="B121" s="12" t="s">
        <v>196</v>
      </c>
      <c r="C121" s="22" t="str">
        <f>H118</f>
        <v/>
      </c>
      <c r="D121" s="18"/>
      <c r="E121" s="18"/>
      <c r="F121" s="12" t="str">
        <f>H119</f>
        <v/>
      </c>
      <c r="G121" s="12"/>
      <c r="H121" s="12" t="str">
        <f t="shared" si="0"/>
        <v/>
      </c>
      <c r="I121" s="12"/>
      <c r="J121" s="12" t="s">
        <v>247</v>
      </c>
      <c r="K121" s="38">
        <v>0.83333333333333337</v>
      </c>
    </row>
    <row r="122" spans="1:11" ht="16" x14ac:dyDescent="0.2">
      <c r="A122" s="12">
        <v>103</v>
      </c>
      <c r="B122" s="12" t="s">
        <v>197</v>
      </c>
      <c r="C122" s="22" t="str">
        <f>IF(H120="","",IF(H120=C120,F120,C120))</f>
        <v/>
      </c>
      <c r="D122" s="18"/>
      <c r="E122" s="18"/>
      <c r="F122" s="12" t="str">
        <f>IF(H121="","",IF(H121=C121,F121,C121))</f>
        <v/>
      </c>
      <c r="G122" s="12"/>
      <c r="H122" s="12" t="str">
        <f t="shared" si="0"/>
        <v/>
      </c>
      <c r="I122" s="12"/>
      <c r="J122" s="12" t="s">
        <v>248</v>
      </c>
      <c r="K122" s="38">
        <v>0.91666666666666663</v>
      </c>
    </row>
    <row r="123" spans="1:11" x14ac:dyDescent="0.2">
      <c r="A123" s="41" t="s">
        <v>249</v>
      </c>
      <c r="B123" s="41" t="s">
        <v>250</v>
      </c>
      <c r="C123" s="41"/>
      <c r="D123" s="41"/>
      <c r="E123" s="41"/>
      <c r="F123" s="41"/>
      <c r="G123" s="41"/>
      <c r="H123" s="41"/>
      <c r="I123" s="41"/>
      <c r="J123" s="41"/>
      <c r="K123" s="41"/>
    </row>
  </sheetData>
  <mergeCells count="1">
    <mergeCell ref="A2:F2"/>
  </mergeCells>
  <phoneticPr fontId="1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Teams</vt:lpstr>
      <vt:lpstr>Tracker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Lucy Philpott</dc:creator>
  <cp:keywords/>
  <dc:description/>
  <cp:lastModifiedBy>Matt Millar</cp:lastModifiedBy>
  <cp:revision/>
  <dcterms:created xsi:type="dcterms:W3CDTF">2026-05-27T16:00:12Z</dcterms:created>
  <dcterms:modified xsi:type="dcterms:W3CDTF">2026-06-12T08:19:35Z</dcterms:modified>
  <cp:category/>
  <cp:contentStatus/>
</cp:coreProperties>
</file>